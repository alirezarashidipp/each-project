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worksheets/sheet8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de0e5fcc446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391c489b3ee4249"/>
    <x:sheet xmlns:r="http://schemas.openxmlformats.org/officeDocument/2006/relationships" name="Concepts" sheetId="2" r:id="Rbf82bafd6d784f99"/>
    <x:sheet xmlns:r="http://schemas.openxmlformats.org/officeDocument/2006/relationships" name="Product Flow" sheetId="3" r:id="R7efb67092f1342c5"/>
    <x:sheet xmlns:r="http://schemas.openxmlformats.org/officeDocument/2006/relationships" name="Data &amp; Scope" sheetId="4" r:id="R8902eeb65d7d42a5"/>
    <x:sheet xmlns:r="http://schemas.openxmlformats.org/officeDocument/2006/relationships" name="Assessment Logic" sheetId="5" r:id="Rdd4730abfa864d70"/>
    <x:sheet xmlns:r="http://schemas.openxmlformats.org/officeDocument/2006/relationships" name="Worked Example" sheetId="6" r:id="Rcfce76fa3ef748ac"/>
    <x:sheet xmlns:r="http://schemas.openxmlformats.org/officeDocument/2006/relationships" name="Team Review" sheetId="7" r:id="R9477c8d62cac4e91"/>
    <x:sheet xmlns:r="http://schemas.openxmlformats.org/officeDocument/2006/relationships" name="Sources" sheetId="8" r:id="R161c390f29604e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7">
    <x:font>
      <x:sz val="11"/>
      <x:name val="Carlito"/>
    </x:font>
    <x:font>
      <x:sz val="11"/>
      <x:color rgb="FF202124"/>
      <x:name val="Arial"/>
    </x:font>
    <x:font>
      <x:b/>
      <x:sz val="24"/>
      <x:color rgb="FFFFFFFF"/>
      <x:name val="Arial"/>
    </x:font>
    <x:font>
      <x:b/>
      <x:sz val="11"/>
      <x:color rgb="FF252525"/>
      <x:name val="Arial"/>
    </x:font>
    <x:font>
      <x:sz val="11"/>
      <x:color rgb="FF252525"/>
      <x:name val="Arial"/>
    </x:font>
    <x:font>
      <x:b/>
      <x:sz val="23"/>
      <x:color rgb="FFFFFFFF"/>
      <x:name val="Arial"/>
    </x:font>
    <x:font>
      <x:b/>
      <x:sz val="11"/>
      <x:color rgb="FFFFFFFF"/>
      <x:name val="Arial"/>
    </x:font>
    <x:font>
      <x:sz val="10"/>
      <x:color rgb="FF666666"/>
      <x:name val="Arial"/>
    </x:font>
    <x:font>
      <x:b/>
      <x:sz val="10.5"/>
      <x:color rgb="FFFFFFFF"/>
      <x:name val="Arial"/>
    </x:font>
    <x:font>
      <x:b/>
      <x:sz val="11"/>
      <x:color rgb="FF242424"/>
      <x:name val="Arial"/>
    </x:font>
    <x:font>
      <x:sz val="10"/>
      <x:color rgb="FF666666"/>
      <x:name val="Arial"/>
    </x:font>
    <x:font>
      <x:sz val="11"/>
      <x:color rgb="FF252525"/>
      <x:name val="Arial"/>
    </x:font>
    <x:font>
      <x:sz val="12"/>
      <x:color rgb="FF252525"/>
      <x:name val="Arial"/>
    </x:font>
    <x:font>
      <x:b/>
      <x:sz val="12"/>
      <x:color rgb="FF252525"/>
      <x:name val="Arial"/>
    </x:font>
    <x:font>
      <x:b/>
      <x:sz val="13"/>
      <x:color rgb="FF252525"/>
      <x:name val="Arial"/>
    </x:font>
    <x:font>
      <x:b/>
      <x:sz val="10"/>
      <x:color rgb="FF666666"/>
      <x:name val="Arial"/>
    </x:font>
    <x:font>
      <x:b/>
      <x:sz val="25"/>
      <x:color rgb="FF242424"/>
      <x:name val="Arial"/>
    </x:font>
    <x:font>
      <x:b/>
      <x:sz val="25"/>
      <x:color rgb="FFDB0011"/>
      <x:name val="Arial"/>
    </x:font>
    <x:font>
      <x:sz val="11"/>
      <x:color rgb="FFA8000D"/>
      <x:name val="Arial"/>
    </x:font>
    <x:font>
      <x:sz val="11"/>
      <x:color rgb="FF666666"/>
      <x:name val="Arial"/>
    </x:font>
    <x:font>
      <x:b/>
      <x:sz val="11"/>
      <x:color rgb="FF252525"/>
      <x:name val="Arial"/>
    </x:font>
    <x:font>
      <x:b/>
      <x:sz val="17"/>
      <x:color rgb="FF252525"/>
      <x:name val="Arial"/>
    </x:font>
    <x:font>
      <x:b/>
      <x:sz val="11"/>
      <x:color rgb="FFDB0011"/>
      <x:name val="Arial"/>
    </x:font>
    <x:font>
      <x:b/>
      <x:sz val="15"/>
      <x:color rgb="FF252525"/>
      <x:name val="Arial"/>
    </x:font>
    <x:font>
      <x:b/>
      <x:sz val="11"/>
      <x:color rgb="FFDB0011"/>
      <x:name val="Arial"/>
    </x:font>
    <x:font>
      <x:b/>
      <x:sz val="12"/>
      <x:color rgb="FFFFFFFF"/>
      <x:name val="Arial"/>
    </x:font>
    <x:font>
      <x:sz val="9"/>
      <x:color rgb="FF666666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42424"/>
      </x:patternFill>
    </x:fill>
    <x:fill>
      <x:patternFill patternType="solid">
        <x:fgColor rgb="FFDB0011"/>
      </x:patternFill>
    </x:fill>
    <x:fill>
      <x:patternFill patternType="solid">
        <x:fgColor rgb="FFF3F3F3"/>
      </x:patternFill>
    </x:fill>
    <x:fill>
      <x:patternFill patternType="solid">
        <x:fgColor rgb="FFFCEAEC"/>
      </x:patternFill>
    </x:fill>
    <x:fill>
      <x:patternFill patternType="solid">
        <x:fgColor rgb="FFFFF5F5"/>
      </x:patternFill>
    </x:fill>
  </x:fills>
  <x:borders count="4">
    <x:border/>
    <x:border/>
    <x:border>
      <x:left style="thin">
        <x:color rgb="FFDDDDDD"/>
      </x:left>
      <x:right style="thin">
        <x:color rgb="FFDDDDDD"/>
      </x:right>
      <x:top style="thin">
        <x:color rgb="FFDDDDDD"/>
      </x:top>
      <x:bottom style="thin">
        <x:color rgb="FFDDDDDD"/>
      </x:bottom>
    </x:border>
    <x:border>
      <x:left style="thin">
        <x:color rgb="FFDDDDDD"/>
      </x:left>
      <x:right style="thin">
        <x:color rgb="FFDDDDDD"/>
      </x:right>
      <x:top style="thin">
        <x:color rgb="FFDDDDDD"/>
      </x:top>
      <x:bottom style="thin">
        <x:color rgb="FFDDDDDD"/>
      </x:bottom>
    </x:border>
  </x:borders>
  <x:cellStyleXfs count="1">
    <x:xf numFmtId="0" fontId="0" fillId="0" borderId="0"/>
  </x:cellStyleXfs>
  <x:cellXfs count="2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horizontal="left" vertical="top" wrapText="1"/>
    </x:xf>
    <x:xf numFmtId="0" fontId="5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left" vertical="top" wrapText="1"/>
    </x:xf>
    <x:xf numFmtId="0" fontId="5" fillId="3" borderId="1" xfId="0" applyNumberFormat="1" applyFont="1" applyFill="1" applyBorder="1" applyAlignment="1">
      <x:alignment horizontal="left" vertical="center" wrapText="1"/>
    </x:xf>
    <x:xf numFmtId="0" fontId="4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horizontal="left" vertical="top" wrapText="1"/>
    </x:xf>
    <x:xf numFmtId="0" fontId="6" fillId="4" borderId="0" xfId="0" applyNumberFormat="1" applyFont="1" applyFill="1" applyBorder="1" applyAlignment="1">
      <x:alignment horizontal="left" vertical="center" wrapText="1"/>
    </x:xf>
    <x:xf numFmtId="0" fontId="4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horizontal="left" vertical="top" wrapText="1"/>
    </x:xf>
    <x:xf numFmtId="0" fontId="6" fillId="4" borderId="1" xfId="0" applyNumberFormat="1" applyFont="1" applyFill="1" applyBorder="1" applyAlignment="1">
      <x:alignment horizontal="left" vertical="center" wrapText="1"/>
    </x:xf>
    <x:xf numFmtId="0" fontId="4" fillId="5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horizontal="left" vertical="top" wrapText="1"/>
    </x:xf>
    <x:xf numFmtId="0" fontId="7" fillId="5" borderId="0" xfId="0" applyNumberFormat="1" applyFont="1" applyFill="1" applyBorder="1" applyAlignment="1">
      <x:alignment horizontal="left" vertical="center" wrapText="1"/>
    </x:xf>
    <x:xf numFmtId="0" fontId="4" fillId="5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horizontal="left" vertical="top" wrapText="1"/>
    </x:xf>
    <x:xf numFmtId="0" fontId="7" fillId="5" borderId="1" xfId="0" applyNumberFormat="1" applyFont="1" applyFill="1" applyBorder="1" applyAlignment="1">
      <x:alignment horizontal="left" vertical="center" wrapText="1"/>
    </x:xf>
    <x:xf numFmtId="0" fontId="8" fillId="3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top" wrapText="1"/>
    </x:xf>
    <x:xf numFmtId="0" fontId="9" fillId="2" borderId="1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 applyAlignment="1">
      <x:alignment vertical="top" wrapText="1"/>
    </x:xf>
    <x:xf numFmtId="0" fontId="10" fillId="2" borderId="1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5" borderId="1" xfId="0" applyNumberFormat="1" applyFont="1" applyFill="1" applyBorder="1" applyAlignment="1">
      <x:alignment vertical="top" wrapText="1"/>
    </x:xf>
    <x:xf numFmtId="0" fontId="10" fillId="5" borderId="0" xfId="0" applyNumberFormat="1" applyFont="1" applyFill="1" applyBorder="1" applyAlignment="1">
      <x:alignment vertical="top" wrapText="1"/>
    </x:xf>
    <x:xf numFmtId="0" fontId="10" fillId="5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11" fillId="6" borderId="0" xfId="0" applyNumberFormat="1" applyFont="1" applyFill="1" applyBorder="1" applyAlignment="1">
      <x:alignment vertical="top" wrapText="1"/>
    </x:xf>
    <x:xf numFmtId="0" fontId="11" fillId="6" borderId="0" xfId="0" applyNumberFormat="1" applyFont="1" applyFill="1" applyBorder="1" applyAlignment="1">
      <x:alignment horizontal="left" vertical="top" wrapText="1"/>
    </x:xf>
    <x:xf numFmtId="0" fontId="11" fillId="6" borderId="0" xfId="0" applyNumberFormat="1" applyFont="1" applyFill="1" applyBorder="1" applyAlignment="1">
      <x:alignment horizontal="left" vertical="center" wrapText="1"/>
    </x:xf>
    <x:xf numFmtId="0" fontId="4" fillId="6" borderId="1" xfId="0" applyNumberFormat="1" applyFont="1" applyFill="1" applyBorder="1" applyAlignment="1">
      <x:alignment vertical="top" wrapText="1"/>
    </x:xf>
    <x:xf numFmtId="0" fontId="11" fillId="6" borderId="1" xfId="0" applyNumberFormat="1" applyFont="1" applyFill="1" applyBorder="1" applyAlignment="1">
      <x:alignment vertical="top" wrapText="1"/>
    </x:xf>
    <x:xf numFmtId="0" fontId="11" fillId="6" borderId="1" xfId="0" applyNumberFormat="1" applyFont="1" applyFill="1" applyBorder="1" applyAlignment="1">
      <x:alignment horizontal="left" vertical="top" wrapText="1"/>
    </x:xf>
    <x:xf numFmtId="0" fontId="11" fillId="6" borderId="1" xfId="0" applyNumberFormat="1" applyFont="1" applyFill="1" applyBorder="1" applyAlignment="1">
      <x:alignment horizontal="left" vertical="center" wrapText="1"/>
    </x:xf>
    <x:xf numFmtId="0" fontId="12" fillId="5" borderId="0" xfId="0" applyNumberFormat="1" applyFont="1" applyFill="1" applyBorder="1" applyAlignment="1">
      <x:alignment vertical="top" wrapText="1"/>
    </x:xf>
    <x:xf numFmtId="0" fontId="12" fillId="5" borderId="0" xfId="0" applyNumberFormat="1" applyFont="1" applyFill="1" applyBorder="1" applyAlignment="1">
      <x:alignment horizontal="left" vertical="top" wrapText="1"/>
    </x:xf>
    <x:xf numFmtId="0" fontId="12" fillId="5" borderId="0" xfId="0" applyNumberFormat="1" applyFont="1" applyFill="1" applyBorder="1" applyAlignment="1">
      <x:alignment horizontal="left" vertical="center" wrapText="1"/>
    </x:xf>
    <x:xf numFmtId="0" fontId="12" fillId="5" borderId="1" xfId="0" applyNumberFormat="1" applyFont="1" applyFill="1" applyBorder="1" applyAlignment="1">
      <x:alignment vertical="top" wrapText="1"/>
    </x:xf>
    <x:xf numFmtId="0" fontId="12" fillId="5" borderId="1" xfId="0" applyNumberFormat="1" applyFont="1" applyFill="1" applyBorder="1" applyAlignment="1">
      <x:alignment horizontal="left" vertical="top" wrapText="1"/>
    </x:xf>
    <x:xf numFmtId="0" fontId="12" fillId="5" borderId="1" xfId="0" applyNumberFormat="1" applyFont="1" applyFill="1" applyBorder="1" applyAlignment="1">
      <x:alignment horizontal="left" vertical="center" wrapText="1"/>
    </x:xf>
    <x:xf numFmtId="0" fontId="13" fillId="6" borderId="0" xfId="0" applyNumberFormat="1" applyFont="1" applyFill="1" applyBorder="1" applyAlignment="1">
      <x:alignment vertical="top" wrapText="1"/>
    </x:xf>
    <x:xf numFmtId="0" fontId="13" fillId="6" borderId="0" xfId="0" applyNumberFormat="1" applyFont="1" applyFill="1" applyBorder="1" applyAlignment="1">
      <x:alignment horizontal="left" vertical="top" wrapText="1"/>
    </x:xf>
    <x:xf numFmtId="0" fontId="13" fillId="6" borderId="0" xfId="0" applyNumberFormat="1" applyFont="1" applyFill="1" applyBorder="1" applyAlignment="1">
      <x:alignment horizontal="left" vertical="center" wrapText="1"/>
    </x:xf>
    <x:xf numFmtId="0" fontId="13" fillId="6" borderId="1" xfId="0" applyNumberFormat="1" applyFont="1" applyFill="1" applyBorder="1" applyAlignment="1">
      <x:alignment vertical="top" wrapText="1"/>
    </x:xf>
    <x:xf numFmtId="0" fontId="13" fillId="6" borderId="1" xfId="0" applyNumberFormat="1" applyFont="1" applyFill="1" applyBorder="1" applyAlignment="1">
      <x:alignment horizontal="left" vertical="top" wrapText="1"/>
    </x:xf>
    <x:xf numFmtId="0" fontId="13" fillId="6" borderId="1" xfId="0" applyNumberFormat="1" applyFont="1" applyFill="1" applyBorder="1" applyAlignment="1">
      <x:alignment horizontal="left" vertical="center" wrapText="1"/>
    </x:xf>
    <x:xf numFmtId="0" fontId="14" fillId="6" borderId="0" xfId="0" applyNumberFormat="1" applyFont="1" applyFill="1" applyBorder="1" applyAlignment="1">
      <x:alignment vertical="top" wrapText="1"/>
    </x:xf>
    <x:xf numFmtId="0" fontId="14" fillId="6" borderId="0" xfId="0" applyNumberFormat="1" applyFont="1" applyFill="1" applyBorder="1" applyAlignment="1">
      <x:alignment horizontal="left" vertical="top" wrapText="1"/>
    </x:xf>
    <x:xf numFmtId="0" fontId="14" fillId="6" borderId="0" xfId="0" applyNumberFormat="1" applyFont="1" applyFill="1" applyBorder="1" applyAlignment="1">
      <x:alignment horizontal="left" vertical="center" wrapText="1"/>
    </x:xf>
    <x:xf numFmtId="0" fontId="14" fillId="6" borderId="1" xfId="0" applyNumberFormat="1" applyFont="1" applyFill="1" applyBorder="1" applyAlignment="1">
      <x:alignment vertical="top" wrapText="1"/>
    </x:xf>
    <x:xf numFmtId="0" fontId="14" fillId="6" borderId="1" xfId="0" applyNumberFormat="1" applyFont="1" applyFill="1" applyBorder="1" applyAlignment="1">
      <x:alignment horizontal="left" vertical="top" wrapText="1"/>
    </x:xf>
    <x:xf numFmtId="0" fontId="14" fillId="6" borderId="1" xfId="0" applyNumberFormat="1" applyFont="1" applyFill="1" applyBorder="1" applyAlignment="1">
      <x:alignment horizontal="left" vertical="center" wrapText="1"/>
    </x:xf>
    <x:xf numFmtId="0" fontId="15" fillId="5" borderId="0" xfId="0" applyNumberFormat="1" applyFont="1" applyFill="1" applyBorder="1" applyAlignment="1">
      <x:alignment vertical="top" wrapText="1"/>
    </x:xf>
    <x:xf numFmtId="0" fontId="15" fillId="5" borderId="0" xfId="0" applyNumberFormat="1" applyFont="1" applyFill="1" applyBorder="1" applyAlignment="1">
      <x:alignment horizontal="left" vertical="top" wrapText="1"/>
    </x:xf>
    <x:xf numFmtId="0" fontId="15" fillId="5" borderId="0" xfId="0" applyNumberFormat="1" applyFont="1" applyFill="1" applyBorder="1" applyAlignment="1">
      <x:alignment horizontal="left" vertical="center" wrapText="1"/>
    </x:xf>
    <x:xf numFmtId="0" fontId="15" fillId="5" borderId="1" xfId="0" applyNumberFormat="1" applyFont="1" applyFill="1" applyBorder="1" applyAlignment="1">
      <x:alignment vertical="top" wrapText="1"/>
    </x:xf>
    <x:xf numFmtId="0" fontId="15" fillId="5" borderId="1" xfId="0" applyNumberFormat="1" applyFont="1" applyFill="1" applyBorder="1" applyAlignment="1">
      <x:alignment horizontal="left" vertical="top" wrapText="1"/>
    </x:xf>
    <x:xf numFmtId="0" fontId="15" fillId="5" borderId="1" xfId="0" applyNumberFormat="1" applyFont="1" applyFill="1" applyBorder="1" applyAlignment="1">
      <x:alignment horizontal="left" vertical="center" wrapText="1"/>
    </x:xf>
    <x:xf numFmtId="0" fontId="16" fillId="5" borderId="0" xfId="0" applyNumberFormat="1" applyFont="1" applyFill="1" applyBorder="1" applyAlignment="1">
      <x:alignment vertical="top" wrapText="1"/>
    </x:xf>
    <x:xf numFmtId="0" fontId="16" fillId="5" borderId="0" xfId="0" applyNumberFormat="1" applyFont="1" applyFill="1" applyBorder="1" applyAlignment="1">
      <x:alignment horizontal="left" vertical="top" wrapText="1"/>
    </x:xf>
    <x:xf numFmtId="0" fontId="16" fillId="5" borderId="0" xfId="0" applyNumberFormat="1" applyFont="1" applyFill="1" applyBorder="1" applyAlignment="1">
      <x:alignment horizontal="left" vertical="center" wrapText="1"/>
    </x:xf>
    <x:xf numFmtId="0" fontId="16" fillId="5" borderId="1" xfId="0" applyNumberFormat="1" applyFont="1" applyFill="1" applyBorder="1" applyAlignment="1">
      <x:alignment vertical="top" wrapText="1"/>
    </x:xf>
    <x:xf numFmtId="0" fontId="16" fillId="5" borderId="1" xfId="0" applyNumberFormat="1" applyFont="1" applyFill="1" applyBorder="1" applyAlignment="1">
      <x:alignment horizontal="left" vertical="top" wrapText="1"/>
    </x:xf>
    <x:xf numFmtId="0" fontId="16" fillId="5" borderId="1" xfId="0" applyNumberFormat="1" applyFont="1" applyFill="1" applyBorder="1" applyAlignment="1">
      <x:alignment horizontal="left" vertical="center" wrapText="1"/>
    </x:xf>
    <x:xf numFmtId="0" fontId="17" fillId="6" borderId="0" xfId="0" applyNumberFormat="1" applyFont="1" applyFill="1" applyBorder="1" applyAlignment="1">
      <x:alignment vertical="top" wrapText="1"/>
    </x:xf>
    <x:xf numFmtId="0" fontId="17" fillId="6" borderId="0" xfId="0" applyNumberFormat="1" applyFont="1" applyFill="1" applyBorder="1" applyAlignment="1">
      <x:alignment horizontal="left" vertical="top" wrapText="1"/>
    </x:xf>
    <x:xf numFmtId="0" fontId="17" fillId="6" borderId="0" xfId="0" applyNumberFormat="1" applyFont="1" applyFill="1" applyBorder="1" applyAlignment="1">
      <x:alignment horizontal="left" vertical="center" wrapText="1"/>
    </x:xf>
    <x:xf numFmtId="0" fontId="17" fillId="6" borderId="1" xfId="0" applyNumberFormat="1" applyFont="1" applyFill="1" applyBorder="1" applyAlignment="1">
      <x:alignment vertical="top" wrapText="1"/>
    </x:xf>
    <x:xf numFmtId="0" fontId="17" fillId="6" borderId="1" xfId="0" applyNumberFormat="1" applyFont="1" applyFill="1" applyBorder="1" applyAlignment="1">
      <x:alignment horizontal="left" vertical="top" wrapText="1"/>
    </x:xf>
    <x:xf numFmtId="0" fontId="17" fillId="6" borderId="1" xfId="0" applyNumberFormat="1" applyFont="1" applyFill="1" applyBorder="1" applyAlignment="1">
      <x:alignment horizontal="left" vertical="center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18" fillId="7" borderId="0" xfId="0" applyNumberFormat="1" applyFont="1" applyFill="1" applyBorder="1" applyAlignment="1">
      <x:alignment vertical="top" wrapText="1"/>
    </x:xf>
    <x:xf numFmtId="0" fontId="18" fillId="7" borderId="1" xfId="0" applyNumberFormat="1" applyFont="1" applyFill="1" applyBorder="1" applyAlignment="1">
      <x:alignment vertical="top" wrapText="1"/>
    </x:xf>
    <x:xf numFmtId="0" fontId="19" fillId="5" borderId="0" xfId="0" applyNumberFormat="1" applyFont="1" applyFill="1" applyBorder="1" applyAlignment="1">
      <x:alignment vertical="top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9" fillId="5" borderId="0" xfId="0" applyNumberFormat="1" applyFont="1" applyFill="1" applyBorder="1" applyAlignment="1">
      <x:alignment horizontal="left" vertical="center" wrapText="1"/>
    </x:xf>
    <x:xf numFmtId="0" fontId="19" fillId="5" borderId="1" xfId="0" applyNumberFormat="1" applyFont="1" applyFill="1" applyBorder="1" applyAlignment="1">
      <x:alignment vertical="top" wrapText="1"/>
    </x:xf>
    <x:xf numFmtId="0" fontId="19" fillId="5" borderId="1" xfId="0" applyNumberFormat="1" applyFont="1" applyFill="1" applyBorder="1" applyAlignment="1">
      <x:alignment horizontal="left" vertical="top" wrapText="1"/>
    </x:xf>
    <x:xf numFmtId="0" fontId="19" fillId="5" borderId="1" xfId="0" applyNumberFormat="1" applyFont="1" applyFill="1" applyBorder="1" applyAlignment="1">
      <x:alignment horizontal="left" vertical="center" wrapText="1"/>
    </x:xf>
    <x:xf numFmtId="0" fontId="20" fillId="6" borderId="0" xfId="0" applyNumberFormat="1" applyFont="1" applyFill="1" applyBorder="1" applyAlignment="1">
      <x:alignment vertical="top" wrapText="1"/>
    </x:xf>
    <x:xf numFmtId="0" fontId="20" fillId="6" borderId="0" xfId="0" applyNumberFormat="1" applyFont="1" applyFill="1" applyBorder="1" applyAlignment="1">
      <x:alignment horizontal="left" vertical="top" wrapText="1"/>
    </x:xf>
    <x:xf numFmtId="0" fontId="20" fillId="6" borderId="0" xfId="0" applyNumberFormat="1" applyFont="1" applyFill="1" applyBorder="1" applyAlignment="1">
      <x:alignment horizontal="left" vertical="center" wrapText="1"/>
    </x:xf>
    <x:xf numFmtId="0" fontId="20" fillId="6" borderId="1" xfId="0" applyNumberFormat="1" applyFont="1" applyFill="1" applyBorder="1" applyAlignment="1">
      <x:alignment vertical="top" wrapText="1"/>
    </x:xf>
    <x:xf numFmtId="0" fontId="20" fillId="6" borderId="1" xfId="0" applyNumberFormat="1" applyFont="1" applyFill="1" applyBorder="1" applyAlignment="1">
      <x:alignment horizontal="left" vertical="top" wrapText="1"/>
    </x:xf>
    <x:xf numFmtId="0" fontId="20" fillId="6" borderId="1" xfId="0" applyNumberFormat="1" applyFont="1" applyFill="1" applyBorder="1" applyAlignment="1">
      <x:alignment horizontal="left" vertical="center" wrapText="1"/>
    </x:xf>
    <x:xf numFmtId="0" fontId="21" fillId="2" borderId="0" xfId="0" applyNumberFormat="1" applyFont="1" applyFill="1" applyBorder="1" applyAlignment="1">
      <x:alignment vertical="top" wrapText="1"/>
    </x:xf>
    <x:xf numFmtId="0" fontId="21" fillId="2" borderId="0" xfId="0" applyNumberFormat="1" applyFont="1" applyFill="1" applyBorder="1" applyAlignment="1">
      <x:alignment horizontal="left" vertical="top" wrapText="1"/>
    </x:xf>
    <x:xf numFmtId="0" fontId="21" fillId="2" borderId="0" xfId="0" applyNumberFormat="1" applyFont="1" applyFill="1" applyBorder="1" applyAlignment="1">
      <x:alignment horizontal="left" vertical="center" wrapText="1"/>
    </x:xf>
    <x:xf numFmtId="0" fontId="21" fillId="2" borderId="1" xfId="0" applyNumberFormat="1" applyFont="1" applyFill="1" applyBorder="1" applyAlignment="1">
      <x:alignment vertical="top" wrapText="1"/>
    </x:xf>
    <x:xf numFmtId="0" fontId="21" fillId="2" borderId="1" xfId="0" applyNumberFormat="1" applyFont="1" applyFill="1" applyBorder="1" applyAlignment="1">
      <x:alignment horizontal="left" vertical="top" wrapText="1"/>
    </x:xf>
    <x:xf numFmtId="0" fontId="21" fillId="2" borderId="1" xfId="0" applyNumberFormat="1" applyFont="1" applyFill="1" applyBorder="1" applyAlignment="1">
      <x:alignment horizontal="left" vertical="center" wrapText="1"/>
    </x:xf>
    <x:xf numFmtId="0" fontId="7" fillId="2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left" vertical="top" wrapText="1"/>
    </x:xf>
    <x:xf numFmtId="0" fontId="7" fillId="2" borderId="0" xfId="0" applyNumberFormat="1" applyFont="1" applyFill="1" applyBorder="1" applyAlignment="1">
      <x:alignment horizontal="left" vertical="center" wrapText="1"/>
    </x:xf>
    <x:xf numFmtId="0" fontId="7" fillId="2" borderId="1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horizontal="left" vertical="top" wrapText="1"/>
    </x:xf>
    <x:xf numFmtId="0" fontId="7" fillId="2" borderId="1" xfId="0" applyNumberFormat="1" applyFont="1" applyFill="1" applyBorder="1" applyAlignment="1">
      <x:alignment horizontal="left" vertical="center" wrapText="1"/>
    </x:xf>
    <x:xf numFmtId="0" fontId="22" fillId="6" borderId="0" xfId="0" applyNumberFormat="1" applyFont="1" applyFill="1" applyBorder="1" applyAlignment="1">
      <x:alignment vertical="top" wrapText="1"/>
    </x:xf>
    <x:xf numFmtId="0" fontId="22" fillId="6" borderId="0" xfId="0" applyNumberFormat="1" applyFont="1" applyFill="1" applyBorder="1" applyAlignment="1">
      <x:alignment horizontal="left" vertical="top" wrapText="1"/>
    </x:xf>
    <x:xf numFmtId="0" fontId="22" fillId="6" borderId="0" xfId="0" applyNumberFormat="1" applyFont="1" applyFill="1" applyBorder="1" applyAlignment="1">
      <x:alignment horizontal="left" vertical="center" wrapText="1"/>
    </x:xf>
    <x:xf numFmtId="0" fontId="22" fillId="6" borderId="1" xfId="0" applyNumberFormat="1" applyFont="1" applyFill="1" applyBorder="1" applyAlignment="1">
      <x:alignment vertical="top" wrapText="1"/>
    </x:xf>
    <x:xf numFmtId="0" fontId="22" fillId="6" borderId="1" xfId="0" applyNumberFormat="1" applyFont="1" applyFill="1" applyBorder="1" applyAlignment="1">
      <x:alignment horizontal="left" vertical="top" wrapText="1"/>
    </x:xf>
    <x:xf numFmtId="0" fontId="22" fillId="6" borderId="1" xfId="0" applyNumberFormat="1" applyFont="1" applyFill="1" applyBorder="1" applyAlignment="1">
      <x:alignment horizontal="left" vertical="center" wrapText="1"/>
    </x:xf>
    <x:xf numFmtId="0" fontId="23" fillId="6" borderId="0" xfId="0" applyNumberFormat="1" applyFont="1" applyFill="1" applyBorder="1" applyAlignment="1">
      <x:alignment vertical="top" wrapText="1"/>
    </x:xf>
    <x:xf numFmtId="0" fontId="23" fillId="6" borderId="0" xfId="0" applyNumberFormat="1" applyFont="1" applyFill="1" applyBorder="1" applyAlignment="1">
      <x:alignment horizontal="left" vertical="top" wrapText="1"/>
    </x:xf>
    <x:xf numFmtId="0" fontId="23" fillId="6" borderId="0" xfId="0" applyNumberFormat="1" applyFont="1" applyFill="1" applyBorder="1" applyAlignment="1">
      <x:alignment horizontal="left" vertical="center" wrapText="1"/>
    </x:xf>
    <x:xf numFmtId="0" fontId="23" fillId="6" borderId="1" xfId="0" applyNumberFormat="1" applyFont="1" applyFill="1" applyBorder="1" applyAlignment="1">
      <x:alignment vertical="top" wrapText="1"/>
    </x:xf>
    <x:xf numFmtId="0" fontId="23" fillId="6" borderId="1" xfId="0" applyNumberFormat="1" applyFont="1" applyFill="1" applyBorder="1" applyAlignment="1">
      <x:alignment horizontal="left" vertical="top" wrapText="1"/>
    </x:xf>
    <x:xf numFmtId="0" fontId="23" fillId="6" borderId="1" xfId="0" applyNumberFormat="1" applyFont="1" applyFill="1" applyBorder="1" applyAlignment="1">
      <x:alignment horizontal="left" vertical="center"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horizontal="left" vertical="top" wrapText="1"/>
    </x:xf>
    <x:xf numFmtId="0" fontId="6" fillId="3" borderId="0" xfId="0" applyNumberFormat="1" applyFont="1" applyFill="1" applyBorder="1" applyAlignment="1">
      <x:alignment horizontal="left" vertical="center" wrapText="1"/>
    </x:xf>
    <x:xf numFmtId="0" fontId="6" fillId="3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horizontal="left" vertical="top" wrapText="1"/>
    </x:xf>
    <x:xf numFmtId="0" fontId="6" fillId="3" borderId="1" xfId="0" applyNumberFormat="1" applyFont="1" applyFill="1" applyBorder="1" applyAlignment="1">
      <x:alignment horizontal="left" vertical="center" wrapText="1"/>
    </x:xf>
    <x:xf numFmtId="0" fontId="11" fillId="5" borderId="0" xfId="0" applyNumberFormat="1" applyFont="1" applyFill="1" applyBorder="1" applyAlignment="1">
      <x:alignment vertical="top" wrapText="1"/>
    </x:xf>
    <x:xf numFmtId="0" fontId="11" fillId="5" borderId="0" xfId="0" applyNumberFormat="1" applyFont="1" applyFill="1" applyBorder="1" applyAlignment="1">
      <x:alignment horizontal="left" vertical="top" wrapText="1"/>
    </x:xf>
    <x:xf numFmtId="0" fontId="11" fillId="5" borderId="0" xfId="0" applyNumberFormat="1" applyFont="1" applyFill="1" applyBorder="1" applyAlignment="1">
      <x:alignment horizontal="left" vertical="center" wrapText="1"/>
    </x:xf>
    <x:xf numFmtId="0" fontId="11" fillId="5" borderId="1" xfId="0" applyNumberFormat="1" applyFont="1" applyFill="1" applyBorder="1" applyAlignment="1">
      <x:alignment vertical="top" wrapText="1"/>
    </x:xf>
    <x:xf numFmtId="0" fontId="11" fillId="5" borderId="1" xfId="0" applyNumberFormat="1" applyFont="1" applyFill="1" applyBorder="1" applyAlignment="1">
      <x:alignment horizontal="left" vertical="top" wrapText="1"/>
    </x:xf>
    <x:xf numFmtId="0" fontId="11" fillId="5" borderId="1" xfId="0" applyNumberFormat="1" applyFont="1" applyFill="1" applyBorder="1" applyAlignment="1">
      <x:alignment horizontal="left" vertical="center" wrapText="1"/>
    </x:xf>
    <x:xf numFmtId="0" fontId="24" fillId="5" borderId="0" xfId="0" applyNumberFormat="1" applyFont="1" applyFill="1" applyBorder="1" applyAlignment="1">
      <x:alignment vertical="top" wrapText="1"/>
    </x:xf>
    <x:xf numFmtId="0" fontId="24" fillId="5" borderId="0" xfId="0" applyNumberFormat="1" applyFont="1" applyFill="1" applyBorder="1" applyAlignment="1">
      <x:alignment vertical="center" wrapText="1"/>
    </x:xf>
    <x:xf numFmtId="0" fontId="24" fillId="5" borderId="1" xfId="0" applyNumberFormat="1" applyFont="1" applyFill="1" applyBorder="1" applyAlignment="1">
      <x:alignment vertical="top" wrapText="1"/>
    </x:xf>
    <x:xf numFmtId="0" fontId="24" fillId="5" borderId="1" xfId="0" applyNumberFormat="1" applyFont="1" applyFill="1" applyBorder="1" applyAlignment="1">
      <x:alignment vertical="center" wrapText="1"/>
    </x:xf>
    <x:xf numFmtId="0" fontId="24" fillId="2" borderId="0" xfId="0" applyNumberFormat="1" applyFont="1" applyFill="1" applyBorder="1" applyAlignment="1">
      <x:alignment vertical="top" wrapText="1"/>
    </x:xf>
    <x:xf numFmtId="0" fontId="24" fillId="2" borderId="0" xfId="0" applyNumberFormat="1" applyFont="1" applyFill="1" applyBorder="1" applyAlignment="1">
      <x:alignment vertical="center" wrapText="1"/>
    </x:xf>
    <x:xf numFmtId="0" fontId="24" fillId="2" borderId="1" xfId="0" applyNumberFormat="1" applyFont="1" applyFill="1" applyBorder="1" applyAlignment="1">
      <x:alignment vertical="top" wrapText="1"/>
    </x:xf>
    <x:xf numFmtId="0" fontId="24" fillId="2" borderId="1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left" vertical="top" wrapText="1"/>
    </x:xf>
    <x:xf numFmtId="0" fontId="11" fillId="2" borderId="0" xfId="0" applyNumberFormat="1" applyFont="1" applyFill="1" applyBorder="1" applyAlignment="1">
      <x:alignment horizontal="left" vertical="center" wrapText="1"/>
    </x:xf>
    <x:xf numFmtId="0" fontId="11" fillId="2" borderId="1" xfId="0" applyNumberFormat="1" applyFont="1" applyFill="1" applyBorder="1" applyAlignment="1">
      <x:alignment vertical="top" wrapText="1"/>
    </x:xf>
    <x:xf numFmtId="0" fontId="11" fillId="2" borderId="1" xfId="0" applyNumberFormat="1" applyFont="1" applyFill="1" applyBorder="1" applyAlignment="1">
      <x:alignment horizontal="left" vertical="top" wrapText="1"/>
    </x:xf>
    <x:xf numFmtId="0" fontId="11" fillId="2" borderId="1" xfId="0" applyNumberFormat="1" applyFont="1" applyFill="1" applyBorder="1" applyAlignment="1">
      <x:alignment horizontal="left" vertical="center" wrapText="1"/>
    </x:xf>
    <x:xf numFmtId="0" fontId="17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horizontal="left" vertical="top" wrapText="1"/>
    </x:xf>
    <x:xf numFmtId="0" fontId="17" fillId="5" borderId="0" xfId="0" applyNumberFormat="1" applyFont="1" applyFill="1" applyBorder="1" applyAlignment="1">
      <x:alignment horizontal="left" vertical="center" wrapText="1"/>
    </x:xf>
    <x:xf numFmtId="0" fontId="17" fillId="5" borderId="1" xfId="0" applyNumberFormat="1" applyFont="1" applyFill="1" applyBorder="1" applyAlignment="1">
      <x:alignment vertical="top" wrapText="1"/>
    </x:xf>
    <x:xf numFmtId="0" fontId="17" fillId="5" borderId="1" xfId="0" applyNumberFormat="1" applyFont="1" applyFill="1" applyBorder="1" applyAlignment="1">
      <x:alignment horizontal="left" vertical="top" wrapText="1"/>
    </x:xf>
    <x:xf numFmtId="0" fontId="17" fillId="5" borderId="1" xfId="0" applyNumberFormat="1" applyFont="1" applyFill="1" applyBorder="1" applyAlignment="1">
      <x:alignment horizontal="left" vertical="center" wrapText="1"/>
    </x:xf>
    <x:xf numFmtId="0" fontId="25" fillId="3" borderId="0" xfId="0" applyNumberFormat="1" applyFont="1" applyFill="1" applyBorder="1" applyAlignment="1">
      <x:alignment vertical="top" wrapText="1"/>
    </x:xf>
    <x:xf numFmtId="0" fontId="25" fillId="3" borderId="0" xfId="0" applyNumberFormat="1" applyFont="1" applyFill="1" applyBorder="1" applyAlignment="1">
      <x:alignment horizontal="left" vertical="top" wrapText="1"/>
    </x:xf>
    <x:xf numFmtId="0" fontId="25" fillId="3" borderId="0" xfId="0" applyNumberFormat="1" applyFont="1" applyFill="1" applyBorder="1" applyAlignment="1">
      <x:alignment horizontal="left" vertical="center" wrapText="1"/>
    </x:xf>
    <x:xf numFmtId="0" fontId="25" fillId="3" borderId="1" xfId="0" applyNumberFormat="1" applyFont="1" applyFill="1" applyBorder="1" applyAlignment="1">
      <x:alignment vertical="top" wrapText="1"/>
    </x:xf>
    <x:xf numFmtId="0" fontId="25" fillId="3" borderId="1" xfId="0" applyNumberFormat="1" applyFont="1" applyFill="1" applyBorder="1" applyAlignment="1">
      <x:alignment horizontal="left" vertical="top" wrapText="1"/>
    </x:xf>
    <x:xf numFmtId="0" fontId="25" fillId="3" borderId="1" xfId="0" applyNumberFormat="1" applyFont="1" applyFill="1" applyBorder="1" applyAlignment="1">
      <x:alignment horizontal="left" vertical="center" wrapText="1"/>
    </x:xf>
    <x:xf numFmtId="0" fontId="26" fillId="2" borderId="0" xfId="0" applyNumberFormat="1" applyFont="1" applyFill="1" applyBorder="1" applyAlignment="1">
      <x:alignment vertical="top" wrapText="1"/>
    </x:xf>
    <x:xf numFmtId="0" fontId="26" fillId="2" borderId="0" xfId="0" applyNumberFormat="1" applyFont="1" applyFill="1" applyBorder="1" applyAlignment="1">
      <x:alignment horizontal="left" vertical="top" wrapText="1"/>
    </x:xf>
    <x:xf numFmtId="0" fontId="26" fillId="2" borderId="0" xfId="0" applyNumberFormat="1" applyFont="1" applyFill="1" applyBorder="1" applyAlignment="1">
      <x:alignment horizontal="left" vertical="center" wrapText="1"/>
    </x:xf>
    <x:xf numFmtId="0" fontId="26" fillId="2" borderId="1" xfId="0" applyNumberFormat="1" applyFont="1" applyFill="1" applyBorder="1" applyAlignment="1">
      <x:alignment vertical="top" wrapText="1"/>
    </x:xf>
    <x:xf numFmtId="0" fontId="26" fillId="2" borderId="1" xfId="0" applyNumberFormat="1" applyFont="1" applyFill="1" applyBorder="1" applyAlignment="1">
      <x:alignment horizontal="left" vertical="top" wrapText="1"/>
    </x:xf>
    <x:xf numFmtId="0" fontId="26" fillId="2" borderId="1" xfId="0" applyNumberFormat="1" applyFont="1" applyFill="1" applyBorder="1" applyAlignment="1">
      <x:alignment horizontal="left" vertical="center" wrapText="1"/>
    </x:xf>
    <x:xf numFmtId="0" fontId="8" fillId="3" borderId="2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top" wrapText="1"/>
    </x:xf>
    <x:xf numFmtId="0" fontId="9" fillId="2" borderId="2" xfId="0" applyNumberFormat="1" applyFont="1" applyFill="1" applyBorder="1" applyAlignment="1">
      <x:alignment vertical="top" wrapText="1"/>
    </x:xf>
    <x:xf numFmtId="0" fontId="10" fillId="2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9" fillId="5" borderId="2" xfId="0" applyNumberFormat="1" applyFont="1" applyFill="1" applyBorder="1" applyAlignment="1">
      <x:alignment vertical="top" wrapText="1"/>
    </x:xf>
    <x:xf numFmtId="0" fontId="10" fillId="5" borderId="2" xfId="0" applyNumberFormat="1" applyFont="1" applyFill="1" applyBorder="1" applyAlignment="1">
      <x:alignment vertical="top" wrapText="1"/>
    </x:xf>
    <x:xf numFmtId="0" fontId="8" fillId="3" borderId="3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top" wrapText="1"/>
    </x:xf>
    <x:xf numFmtId="0" fontId="9" fillId="2" borderId="3" xfId="0" applyNumberFormat="1" applyFont="1" applyFill="1" applyBorder="1" applyAlignment="1">
      <x:alignment vertical="top" wrapText="1"/>
    </x:xf>
    <x:xf numFmtId="0" fontId="10" fillId="2" borderId="3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9" fillId="5" borderId="3" xfId="0" applyNumberFormat="1" applyFont="1" applyFill="1" applyBorder="1" applyAlignment="1">
      <x:alignment vertical="top" wrapText="1"/>
    </x:xf>
    <x:xf numFmtId="0" fontId="10" fillId="5" borderId="3" xfId="0" applyNumberFormat="1" applyFont="1" applyFill="1" applyBorder="1" applyAlignment="1">
      <x:alignment vertical="top" wrapText="1"/>
    </x:xf>
    <x:xf numFmtId="0" fontId="18" fillId="7" borderId="2" xfId="0" applyNumberFormat="1" applyFont="1" applyFill="1" applyBorder="1" applyAlignment="1">
      <x:alignment vertical="top" wrapText="1"/>
    </x:xf>
    <x:xf numFmtId="0" fontId="18" fillId="7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A8000D"/>
      </x:font>
      <x:fill>
        <x:patternFill patternType="solid">
          <x:bgColor rgb="FFFCEAEC"/>
        </x:patternFill>
      </x:fill>
    </x:dxf>
    <x:dxf>
      <x:font>
        <x:b/>
        <x:color rgb="FFFFFFFF"/>
      </x:font>
      <x:fill>
        <x:patternFill patternType="solid">
          <x:bgColor rgb="FF242424"/>
        </x:patternFill>
      </x:fill>
    </x:dxf>
    <x:dxf>
      <x:font>
        <x:color rgb="FF242424"/>
      </x:font>
      <x:fill>
        <x:patternFill patternType="solid">
          <x:bgColor rgb="FFE4E4E4"/>
        </x:patternFill>
      </x:fill>
    </x:dxf>
    <x:dxf>
      <x:font>
        <x:i/>
        <x:color rgb="FF666666"/>
      </x:font>
      <x:fill>
        <x:patternFill patternType="solid">
          <x:bgColor rgb="FFF1F1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1afb5a24f14f45" /><Relationship Type="http://schemas.openxmlformats.org/officeDocument/2006/relationships/theme" Target="/xl/theme/theme1.xml" Id="R88d5ca95d8444962" /><Relationship Type="http://schemas.openxmlformats.org/officeDocument/2006/relationships/sharedStrings" Target="/xl/sharedStrings.xml" Id="R8c2b106aa15141b3" /><Relationship Type="http://schemas.openxmlformats.org/officeDocument/2006/relationships/worksheet" Target="/xl/worksheets/sheet1.xml" Id="Rf391c489b3ee4249" /><Relationship Type="http://schemas.openxmlformats.org/officeDocument/2006/relationships/worksheet" Target="/xl/worksheets/sheet2.xml" Id="Rbf82bafd6d784f99" /><Relationship Type="http://schemas.openxmlformats.org/officeDocument/2006/relationships/worksheet" Target="/xl/worksheets/sheet3.xml" Id="R7efb67092f1342c5" /><Relationship Type="http://schemas.openxmlformats.org/officeDocument/2006/relationships/worksheet" Target="/xl/worksheets/sheet4.xml" Id="R8902eeb65d7d42a5" /><Relationship Type="http://schemas.openxmlformats.org/officeDocument/2006/relationships/worksheet" Target="/xl/worksheets/sheet5.xml" Id="Rdd4730abfa864d70" /><Relationship Type="http://schemas.openxmlformats.org/officeDocument/2006/relationships/worksheet" Target="/xl/worksheets/sheet6.xml" Id="Rcfce76fa3ef748ac" /><Relationship Type="http://schemas.openxmlformats.org/officeDocument/2006/relationships/worksheet" Target="/xl/worksheets/sheet7.xml" Id="R9477c8d62cac4e91" /><Relationship Type="http://schemas.openxmlformats.org/officeDocument/2006/relationships/worksheet" Target="/xl/worksheets/sheet8.xml" Id="R161c390f29604e36" /></Relationships>
</file>

<file path=xl/tables/table1.xml><?xml version="1.0" encoding="utf-8"?>
<x:table xmlns:x="http://schemas.openxmlformats.org/spreadsheetml/2006/main" id="1" name="ConceptsTable" displayName="ConceptsTable" ref="A6:G36" headerRowCount="1" totalsRowCount="0" totalsRowShown="0">
  <x:autoFilter ref="A6:G36"/>
  <x:tableColumns count="7">
    <x:tableColumn id="1" name="Category"/>
    <x:tableColumn id="2" name="Term"/>
    <x:tableColumn id="3" name="Definition"/>
    <x:tableColumn id="4" name="In plain English"/>
    <x:tableColumn id="5" name="Example"/>
    <x:tableColumn id="6" name="Key point / boundary"/>
    <x:tableColumn id="7" name="Source reference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ProductFlowTable" displayName="ProductFlowTable" ref="A6:G15" headerRowCount="1" totalsRowCount="0" totalsRowShown="0">
  <x:autoFilter ref="A6:G15"/>
  <x:tableColumns count="7">
    <x:tableColumn id="1" name="Step"/>
    <x:tableColumn id="2" name="Activity"/>
    <x:tableColumn id="3" name="Input / starting point"/>
    <x:tableColumn id="4" name="What the product supports"/>
    <x:tableColumn id="5" name="Useful output"/>
    <x:tableColumn id="6" name="Boundary / maturity"/>
    <x:tableColumn id="7" name="Sources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upplierScopeTable" displayName="SupplierScopeTable" ref="A6:F11" headerRowCount="1" totalsRowCount="0" totalsRowShown="0">
  <x:autoFilter ref="A6:F11"/>
  <x:tableColumns count="6">
    <x:tableColumn id="1" name="Scope concept"/>
    <x:tableColumn id="2" name="Figure / level shown"/>
    <x:tableColumn id="3" name="Meaning"/>
    <x:tableColumn id="4" name="Important qualification"/>
    <x:tableColumn id="5" name="Evidence status"/>
    <x:tableColumn id="6" name="Sources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SourceRolesTable" displayName="SourceRolesTable" ref="A15:F24" headerRowCount="1" totalsRowCount="0" totalsRowShown="0">
  <x:autoFilter ref="A15:F24"/>
  <x:tableColumns count="6">
    <x:tableColumn id="1" name="System / source"/>
    <x:tableColumn id="2" name="Role in supplied material"/>
    <x:tableColumn id="3" name="Use in the product understanding"/>
    <x:tableColumn id="4" name="Scope status"/>
    <x:tableColumn id="5" name="Validation needed"/>
    <x:tableColumn id="6" name="Sources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CurrentPipelineTable" displayName="CurrentPipelineTable" ref="A28:F36" headerRowCount="1" totalsRowCount="0" totalsRowShown="0">
  <x:autoFilter ref="A28:F36"/>
  <x:tableColumns count="6">
    <x:tableColumn id="1" name="Step"/>
    <x:tableColumn id="2" name="Stage"/>
    <x:tableColumn id="3" name="What happens"/>
    <x:tableColumn id="4" name="Output"/>
    <x:tableColumn id="5" name="Boundary"/>
    <x:tableColumn id="6" name="Basis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AssessmentConceptsTable" displayName="AssessmentConceptsTable" ref="A6:G10" headerRowCount="1" totalsRowCount="0" totalsRowShown="0">
  <x:autoFilter ref="A6:G10"/>
  <x:tableColumns count="7">
    <x:tableColumn id="1" name="Concept"/>
    <x:tableColumn id="2" name="Question answered"/>
    <x:tableColumn id="3" name="Example"/>
    <x:tableColumn id="4" name="Relationship"/>
    <x:tableColumn id="5" name="Key guardrail"/>
    <x:tableColumn id="6" name="Basis"/>
    <x:tableColumn id="7" name="Sources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IncidentConceptLinks" displayName="IncidentConceptLinks" ref="A14:G19" headerRowCount="1" totalsRowCount="0" totalsRowShown="0">
  <x:autoFilter ref="A14:G19"/>
  <x:tableColumns count="7">
    <x:tableColumn id="1" name="Concept"/>
    <x:tableColumn id="2" name="Working meaning"/>
    <x:tableColumn id="3" name="Illustration"/>
    <x:tableColumn id="4" name="Next analytical question"/>
    <x:tableColumn id="5" name="What the chain does NOT establish"/>
    <x:tableColumn id="6" name="Basis"/>
    <x:tableColumn id="7" name="Sources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AnalyticalQuestions" displayName="AnalyticalQuestions" ref="A27:G30" headerRowCount="1" totalsRowCount="0" totalsRowShown="0">
  <x:autoFilter ref="A27:G30"/>
  <x:tableColumns count="7">
    <x:tableColumn id="1" name="Question"/>
    <x:tableColumn id="2" name="Task"/>
    <x:tableColumn id="3" name="Example"/>
    <x:tableColumn id="4" name="Distinction"/>
    <x:tableColumn id="5" name="Boundary"/>
    <x:tableColumn id="6" name="Basis"/>
    <x:tableColumn id="7" name="Sources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9" name="ScanningExample" displayName="ScanningExample" ref="A6:E15" headerRowCount="1" totalsRowCount="0" totalsRowShown="0">
  <x:autoFilter ref="A6:E15"/>
  <x:tableColumns count="5">
    <x:tableColumn id="1" name="Step"/>
    <x:tableColumn id="2" name="Activity"/>
    <x:tableColumn id="3" name="Illustrative information"/>
    <x:tableColumn id="4" name="Question for the reviewer"/>
    <x:tableColumn id="5" name="What the product should make clear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10" name="AttributionExamples" displayName="AttributionExamples" ref="A21:E24" headerRowCount="1" totalsRowCount="0" totalsRowShown="0">
  <x:autoFilter ref="A21:E24"/>
  <x:tableColumns count="5">
    <x:tableColumn id="1" name="Case type"/>
    <x:tableColumn id="2" name="What the evidence says"/>
    <x:tableColumn id="3" name="Conclusion boundary"/>
    <x:tableColumn id="4" name="Lesson"/>
    <x:tableColumn id="5" name="Basis"/>
  </x:tableColumns>
  <x:tableStyleInfo name="TableStyleLight1" showFirstColumn="0" showLastColumn="0" showRowStripes="1" showColumnStripes="0"/>
</x:table>
</file>

<file path=xl/tables/table11.xml><?xml version="1.0" encoding="utf-8"?>
<x:table xmlns:x="http://schemas.openxmlformats.org/spreadsheetml/2006/main" id="11" name="TeamReviewTable" displayName="TeamReviewTable" ref="A12:G26" headerRowCount="1" totalsRowCount="0" totalsRowShown="0">
  <x:autoFilter ref="A12:G26"/>
  <x:tableColumns count="7">
    <x:tableColumn id="1" name="ID"/>
    <x:tableColumn id="2" name="Topic"/>
    <x:tableColumn id="3" name="Current understanding"/>
    <x:tableColumn id="4" name="Confirmation needed"/>
    <x:tableColumn id="5" name="Review status"/>
    <x:tableColumn id="6" name="Team feedback"/>
    <x:tableColumn id="7" name="Sources"/>
  </x:tableColumns>
  <x:tableStyleInfo name="TableStyleLight1" showFirstColumn="0" showLastColumn="0" showRowStripes="1" showColumnStripes="0"/>
</x:table>
</file>

<file path=xl/tables/table12.xml><?xml version="1.0" encoding="utf-8"?>
<x:table xmlns:x="http://schemas.openxmlformats.org/spreadsheetml/2006/main" id="12" name="SourceRegistry" displayName="SourceRegistry" ref="A6:D14" headerRowCount="1" totalsRowCount="0" totalsRowShown="0">
  <x:autoFilter ref="A6:D14"/>
  <x:tableColumns count="4">
    <x:tableColumn id="1" name="Source ID"/>
    <x:tableColumn id="2" name="Source type"/>
    <x:tableColumn id="3" name="Location / material"/>
    <x:tableColumn id="4" name="How it is used"/>
  </x:tableColumns>
  <x:tableStyleInfo name="TableStyleLight1" showFirstColumn="0" showLastColumn="0" showRowStripes="1" showColumnStripes="0"/>
</x:table>
</file>

<file path=xl/tables/table13.xml><?xml version="1.0" encoding="utf-8"?>
<x:table xmlns:x="http://schemas.openxmlformats.org/spreadsheetml/2006/main" id="13" name="MeetingEvidenceIndex" displayName="MeetingEvidenceIndex" ref="A18:D42" headerRowCount="1" totalsRowCount="0" totalsRowShown="0">
  <x:autoFilter ref="A18:D42"/>
  <x:tableColumns count="4">
    <x:tableColumn id="1" name="Reference"/>
    <x:tableColumn id="2" name="Timestamp / parsed lines"/>
    <x:tableColumn id="3" name="Topic"/>
    <x:tableColumn id="4" name="What the transcript support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0936cd49c24a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fa5ca8ba4f42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30e101f1da4fb9" /><Relationship Type="http://schemas.openxmlformats.org/officeDocument/2006/relationships/table" Target="/xl/tables/table4.xml" Id="Re530176a8a954f7a" /><Relationship Type="http://schemas.openxmlformats.org/officeDocument/2006/relationships/table" Target="/xl/tables/table5.xml" Id="Ra2c80aaa376944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a93195ca373b42ea" /><Relationship Type="http://schemas.openxmlformats.org/officeDocument/2006/relationships/table" Target="/xl/tables/table7.xml" Id="R6519b00a56404772" /><Relationship Type="http://schemas.openxmlformats.org/officeDocument/2006/relationships/table" Target="/xl/tables/table8.xml" Id="Ra730620083c247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9.xml" Id="Re3acb7e41f874b8e" /><Relationship Type="http://schemas.openxmlformats.org/officeDocument/2006/relationships/table" Target="/xl/tables/table10.xml" Id="R364d554f32cc4b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1.xml" Id="Rffb0ae1ca95c40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2.xml" Id="Rb5186be19f2d4f97" /><Relationship Type="http://schemas.openxmlformats.org/officeDocument/2006/relationships/table" Target="/xl/tables/table13.xml" Id="R3ec7304531c54374" /></Relationships>
</file>

<file path=xl/worksheets/sheet1.xml><?xml version="1.0" encoding="utf-8"?>
<x:worksheet xmlns:x="http://schemas.openxmlformats.org/spreadsheetml/2006/main">
  <x:sheetPr>
    <x:tabColor rgb="FFDB001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25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</x:cols>
  <x:sheetData>
    <x:row r="1" ht="25" customHeight="1">
      <x:c r="A1" s="32" t="str">
        <x:v>WS4 | Supplier Resilience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</x:row>
    <x:row r="2" ht="25" customHeight="1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</x:row>
    <x:row r="3" ht="25" customHeight="1">
      <x:c r="A3" s="41" t="str">
        <x:v>MY UNDERSTANDING OF THE PRODUCT  •  DISCUSSION DRAFT  •  v1.0</x:v>
      </x:c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</x:row>
    <x:row r="4" ht="31" customHeight="1">
      <x:c r="A4" s="49" t="str">
        <x:v>Prepared by Ali  |  For team alignment, not an approved product specification. Built from the supplied notes, meeting and visuals.</x:v>
      </x:c>
      <x:c r="B4" s="49"/>
      <x:c r="C4" s="49"/>
      <x:c r="D4" s="49"/>
      <x:c r="E4" s="49"/>
      <x:c r="F4" s="49"/>
      <x:c r="G4" s="49"/>
      <x:c r="H4" s="49"/>
      <x:c r="I4" s="49"/>
      <x:c r="J4" s="49"/>
      <x:c r="K4" s="49"/>
      <x:c r="L4" s="49"/>
    </x:row>
    <x:row r="5" ht="10" customHeight="1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</x:row>
    <x:row r="6" ht="25" customHeight="1">
      <x:c r="A6" s="41" t="str">
        <x:v>01 | THE PRODUCT IN ONE SENTENCE</x:v>
      </x:c>
      <x:c r="B6" s="41"/>
      <x:c r="C6" s="41"/>
      <x:c r="D6" s="41"/>
      <x:c r="E6" s="41"/>
      <x:c r="F6" s="41"/>
      <x:c r="G6" s="41"/>
      <x:c r="H6" s="41"/>
      <x:c r="I6" s="41"/>
      <x:c r="J6" s="41"/>
      <x:c r="K6" s="41"/>
      <x:c r="L6" s="41"/>
    </x:row>
    <x:row r="7" ht="24" customHeight="1">
      <x:c r="A7" s="128" t="str">
        <x:v>WS4 helps reviewers understand a supplier's services, find related problems, examine cause and resilience capabilities, and support evidence-based questions and improvements.</x:v>
      </x:c>
      <x:c r="B7" s="128"/>
      <x:c r="C7" s="128"/>
      <x:c r="D7" s="128"/>
      <x:c r="E7" s="128"/>
      <x:c r="F7" s="128"/>
      <x:c r="G7" s="128"/>
      <x:c r="H7" s="128"/>
      <x:c r="I7" s="128"/>
      <x:c r="J7" s="128"/>
      <x:c r="K7" s="128"/>
      <x:c r="L7" s="128"/>
    </x:row>
    <x:row r="8" ht="24" customHeight="1">
      <x:c r="A8" s="128"/>
      <x:c r="B8" s="128"/>
      <x:c r="C8" s="128"/>
      <x:c r="D8" s="128"/>
      <x:c r="E8" s="128"/>
      <x:c r="F8" s="128"/>
      <x:c r="G8" s="128"/>
      <x:c r="H8" s="128"/>
      <x:c r="I8" s="128"/>
      <x:c r="J8" s="128"/>
      <x:c r="K8" s="128"/>
      <x:c r="L8" s="128"/>
    </x:row>
    <x:row r="9" ht="24" customHeight="1">
      <x:c r="A9" s="128"/>
      <x:c r="B9" s="128"/>
      <x:c r="C9" s="128"/>
      <x:c r="D9" s="128"/>
      <x:c r="E9" s="128"/>
      <x:c r="F9" s="128"/>
      <x:c r="G9" s="128"/>
      <x:c r="H9" s="128"/>
      <x:c r="I9" s="128"/>
      <x:c r="J9" s="128"/>
      <x:c r="K9" s="128"/>
      <x:c r="L9" s="128"/>
    </x:row>
    <x:row r="10" ht="20" customHeight="1">
      <x:c r="A10" s="134" t="str">
        <x:v>Basis: M14; M16; U01. This is the target understanding, not a signed-off release commitment.</x:v>
      </x:c>
      <x:c r="B10" s="134"/>
      <x:c r="C10" s="134"/>
      <x:c r="D10" s="134"/>
      <x:c r="E10" s="134"/>
      <x:c r="F10" s="134"/>
      <x:c r="G10" s="134"/>
      <x:c r="H10" s="134"/>
      <x:c r="I10" s="134"/>
      <x:c r="J10" s="134"/>
      <x:c r="K10" s="134"/>
      <x:c r="L10" s="134"/>
    </x:row>
    <x:row r="11" ht="20" customHeight="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</x:row>
    <x:row r="12" ht="25" customHeight="1">
      <x:c r="A12" s="41" t="str">
        <x:v>02 | FOUR CORE JOBS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</x:row>
    <x:row r="13" ht="34" customHeight="1">
      <x:c r="A13" s="140" t="str">
        <x:v>01  Find related evidence</x:v>
      </x:c>
      <x:c r="B13" s="140"/>
      <x:c r="C13" s="140"/>
      <x:c r="D13" s="140" t="str">
        <x:v>02  Understand event &amp; cause</x:v>
      </x:c>
      <x:c r="E13" s="140"/>
      <x:c r="F13" s="140"/>
      <x:c r="G13" s="140" t="str">
        <x:v>03  Review capabilities</x:v>
      </x:c>
      <x:c r="H13" s="140"/>
      <x:c r="I13" s="140"/>
      <x:c r="J13" s="140" t="str">
        <x:v>04  Support improvement</x:v>
      </x:c>
      <x:c r="K13" s="140"/>
      <x:c r="L13" s="140"/>
    </x:row>
    <x:row r="14" ht="20" customHeight="1">
      <x:c r="A14" s="76" t="str">
        <x:v>Link records to the supplier and service, including incomplete names or identifiers.</x:v>
      </x:c>
      <x:c r="B14" s="76"/>
      <x:c r="C14" s="76"/>
      <x:c r="D14" s="76" t="str">
        <x:v>Separate what failed, who is involved and what the evidence says about responsibility.</x:v>
      </x:c>
      <x:c r="E14" s="76"/>
      <x:c r="F14" s="76"/>
      <x:c r="G14" s="76" t="str">
        <x:v>Connect supported concerns to the relevant themes and capabilities.</x:v>
      </x:c>
      <x:c r="H14" s="76"/>
      <x:c r="I14" s="76"/>
      <x:c r="J14" s="76" t="str">
        <x:v>Help prepare questions, review response evidence and follow up improvements.</x:v>
      </x:c>
      <x:c r="K14" s="76"/>
      <x:c r="L14" s="76"/>
    </x:row>
    <x:row r="15" ht="20" customHeight="1">
      <x:c r="A15" s="76"/>
      <x:c r="B15" s="76"/>
      <x:c r="C15" s="76"/>
      <x:c r="D15" s="76"/>
      <x:c r="E15" s="76"/>
      <x:c r="F15" s="76"/>
      <x:c r="G15" s="76"/>
      <x:c r="H15" s="76"/>
      <x:c r="I15" s="76"/>
      <x:c r="J15" s="76"/>
      <x:c r="K15" s="76"/>
      <x:c r="L15" s="76"/>
    </x:row>
    <x:row r="16" ht="20" customHeight="1">
      <x:c r="A16" s="76"/>
      <x:c r="B16" s="76"/>
      <x:c r="C16" s="76"/>
      <x:c r="D16" s="76"/>
      <x:c r="E16" s="76"/>
      <x:c r="F16" s="76"/>
      <x:c r="G16" s="76"/>
      <x:c r="H16" s="76"/>
      <x:c r="I16" s="76"/>
      <x:c r="J16" s="76"/>
      <x:c r="K16" s="76"/>
      <x:c r="L16" s="76"/>
    </x:row>
    <x:row r="17" ht="20" customHeight="1">
      <x:c r="A17" s="76"/>
      <x:c r="B17" s="76"/>
      <x:c r="C17" s="76"/>
      <x:c r="D17" s="76"/>
      <x:c r="E17" s="76"/>
      <x:c r="F17" s="76"/>
      <x:c r="G17" s="76"/>
      <x:c r="H17" s="76"/>
      <x:c r="I17" s="76"/>
      <x:c r="J17" s="76"/>
      <x:c r="K17" s="76"/>
      <x:c r="L17" s="76"/>
    </x:row>
    <x:row r="18" ht="22" customHeight="1">
      <x:c r="A18" s="134" t="str">
        <x:v>Sources: M05; M11; M13; M14; M20; M21. These are product responsibilities, not a fixed number of LLM calls.</x:v>
      </x:c>
      <x:c r="B18" s="134"/>
      <x:c r="C18" s="134"/>
      <x:c r="D18" s="134"/>
      <x:c r="E18" s="134"/>
      <x:c r="F18" s="134"/>
      <x:c r="G18" s="134"/>
      <x:c r="H18" s="134"/>
      <x:c r="I18" s="134"/>
      <x:c r="J18" s="134"/>
      <x:c r="K18" s="134"/>
      <x:c r="L18" s="134"/>
    </x:row>
    <x:row r="19" ht="20" customHeight="1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</x:row>
    <x:row r="20" ht="25" customHeight="1">
      <x:c r="A20" s="41" t="str">
        <x:v>03 | WHAT THE USER SHOULD SEE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</x:row>
    <x:row r="21" ht="24" customHeight="1">
      <x:c r="A21" s="146" t="str">
        <x:v>“This supplier provides these services. These problems are relevant. This is the evidence about cause. These capabilities need review. These are the questions and improvements to follow up.”</x:v>
      </x:c>
      <x:c r="B21" s="146"/>
      <x:c r="C21" s="146"/>
      <x:c r="D21" s="146"/>
      <x:c r="E21" s="146"/>
      <x:c r="F21" s="146"/>
      <x:c r="G21" s="146"/>
      <x:c r="H21" s="146"/>
      <x:c r="I21" s="146"/>
      <x:c r="J21" s="146"/>
      <x:c r="K21" s="146"/>
      <x:c r="L21" s="146"/>
    </x:row>
    <x:row r="22" ht="24" customHeight="1">
      <x:c r="A22" s="146"/>
      <x:c r="B22" s="146"/>
      <x:c r="C22" s="146"/>
      <x:c r="D22" s="146"/>
      <x:c r="E22" s="146"/>
      <x:c r="F22" s="146"/>
      <x:c r="G22" s="146"/>
      <x:c r="H22" s="146"/>
      <x:c r="I22" s="146"/>
      <x:c r="J22" s="146"/>
      <x:c r="K22" s="146"/>
      <x:c r="L22" s="146"/>
    </x:row>
    <x:row r="23" ht="24" customHeight="1">
      <x:c r="A23" s="146"/>
      <x:c r="B23" s="146"/>
      <x:c r="C23" s="146"/>
      <x:c r="D23" s="146"/>
      <x:c r="E23" s="146"/>
      <x:c r="F23" s="146"/>
      <x:c r="G23" s="146"/>
      <x:c r="H23" s="146"/>
      <x:c r="I23" s="146"/>
      <x:c r="J23" s="146"/>
      <x:c r="K23" s="146"/>
      <x:c r="L23" s="146"/>
    </x:row>
    <x:row r="24" ht="20" customHeight="1">
      <x:c r="A24" s="134" t="str">
        <x:v>Proposed user-facing summary, grounded in the future TPM view described in M14.</x:v>
      </x:c>
      <x:c r="B24" s="134"/>
      <x:c r="C24" s="134"/>
      <x:c r="D24" s="134"/>
      <x:c r="E24" s="134"/>
      <x:c r="F24" s="134"/>
      <x:c r="G24" s="134"/>
      <x:c r="H24" s="134"/>
      <x:c r="I24" s="134"/>
      <x:c r="J24" s="134"/>
      <x:c r="K24" s="134"/>
      <x:c r="L24" s="134"/>
    </x:row>
    <x:row r="25" ht="20" customHeight="1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</x:row>
    <x:row r="26" ht="27" customHeight="1">
      <x:c r="A26" s="152" t="str">
        <x:v>CURRENT DATA-PIPELINE SCOPE</x:v>
      </x:c>
      <x:c r="B26" s="152"/>
      <x:c r="C26" s="152"/>
      <x:c r="D26" s="152"/>
      <x:c r="E26" s="152"/>
      <x:c r="F26" s="152"/>
      <x:c r="G26" s="152" t="str">
        <x:v>BOUNDARIES TO KEEP VISIBLE</x:v>
      </x:c>
      <x:c r="H26" s="152"/>
      <x:c r="I26" s="152"/>
      <x:c r="J26" s="152"/>
      <x:c r="K26" s="152"/>
      <x:c r="L26" s="152"/>
    </x:row>
    <x:row r="27" ht="21" customHeight="1">
      <x:c r="A27" s="158" t="str">
        <x:v>Four CxO inputs → three prepared Azure SQL datasets.
ServiceNow main + extra fields; Helios Issue; Helios Action.
Text/tabular data only. Attachments excluded. Summarisation optional.
The pipeline enables the product; it is not the whole product. [U03]</x:v>
      </x:c>
      <x:c r="B27" s="158"/>
      <x:c r="C27" s="158"/>
      <x:c r="D27" s="158"/>
      <x:c r="E27" s="158"/>
      <x:c r="F27" s="158"/>
      <x:c r="G27" s="158" t="str">
        <x:v>Supplier association ≠ proof of supplier fault.
Missing records ≠ proof of no disruption.
Target capability ≠ approved first-release scope.
Working vocabulary and unresolved source details are explicitly listed for team validation. [M05; M09; M23; U01]</x:v>
      </x:c>
      <x:c r="H27" s="158"/>
      <x:c r="I27" s="158"/>
      <x:c r="J27" s="158"/>
      <x:c r="K27" s="158"/>
      <x:c r="L27" s="158"/>
    </x:row>
    <x:row r="28" ht="21" customHeight="1">
      <x:c r="A28" s="158"/>
      <x:c r="B28" s="158"/>
      <x:c r="C28" s="158"/>
      <x:c r="D28" s="158"/>
      <x:c r="E28" s="158"/>
      <x:c r="F28" s="158"/>
      <x:c r="G28" s="158"/>
      <x:c r="H28" s="158"/>
      <x:c r="I28" s="158"/>
      <x:c r="J28" s="158"/>
      <x:c r="K28" s="158"/>
      <x:c r="L28" s="158"/>
    </x:row>
    <x:row r="29" ht="21" customHeight="1">
      <x:c r="A29" s="158"/>
      <x:c r="B29" s="158"/>
      <x:c r="C29" s="158"/>
      <x:c r="D29" s="158"/>
      <x:c r="E29" s="158"/>
      <x:c r="F29" s="158"/>
      <x:c r="G29" s="158"/>
      <x:c r="H29" s="158"/>
      <x:c r="I29" s="158"/>
      <x:c r="J29" s="158"/>
      <x:c r="K29" s="158"/>
      <x:c r="L29" s="158"/>
    </x:row>
    <x:row r="30" ht="21" customHeight="1">
      <x:c r="A30" s="158"/>
      <x:c r="B30" s="158"/>
      <x:c r="C30" s="158"/>
      <x:c r="D30" s="158"/>
      <x:c r="E30" s="158"/>
      <x:c r="F30" s="158"/>
      <x:c r="G30" s="158"/>
      <x:c r="H30" s="158"/>
      <x:c r="I30" s="158"/>
      <x:c r="J30" s="158"/>
      <x:c r="K30" s="158"/>
      <x:c r="L30" s="158"/>
    </x:row>
    <x:row r="31" ht="21" customHeight="1">
      <x:c r="A31" s="158"/>
      <x:c r="B31" s="158"/>
      <x:c r="C31" s="158"/>
      <x:c r="D31" s="158"/>
      <x:c r="E31" s="158"/>
      <x:c r="F31" s="158"/>
      <x:c r="G31" s="158"/>
      <x:c r="H31" s="158"/>
      <x:c r="I31" s="158"/>
      <x:c r="J31" s="158"/>
      <x:c r="K31" s="158"/>
      <x:c r="L31" s="158"/>
    </x:row>
    <x:row r="32" ht="20" customHeight="1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</x:row>
    <x:row r="33" ht="25" customHeight="1">
      <x:c r="A33" s="41" t="str">
        <x:v>04 | WORKBOOK GUIDE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</x:row>
    <x:row r="34" ht="29" customHeight="1">
      <x:c r="A34" s="163" t="str">
        <x:v>Concepts</x:v>
      </x:c>
      <x:c r="B34" s="163"/>
      <x:c r="C34" s="163"/>
      <x:c r="D34" s="158" t="str">
        <x:v>Definitions, plain-English explanations, examples and the key distinctions.</x:v>
      </x:c>
      <x:c r="E34" s="158"/>
      <x:c r="F34" s="158"/>
      <x:c r="G34" s="158"/>
      <x:c r="H34" s="158"/>
      <x:c r="I34" s="158"/>
      <x:c r="J34" s="158"/>
      <x:c r="K34" s="158"/>
      <x:c r="L34" s="158"/>
    </x:row>
    <x:row r="35" ht="29" customHeight="1">
      <x:c r="A35" s="167" t="str">
        <x:v>Product Flow</x:v>
      </x:c>
      <x:c r="B35" s="167"/>
      <x:c r="C35" s="167"/>
      <x:c r="D35" s="172" t="str">
        <x:v>Supplier-first review, evidence analysis, questions and improvement.</x:v>
      </x:c>
      <x:c r="E35" s="172"/>
      <x:c r="F35" s="172"/>
      <x:c r="G35" s="172"/>
      <x:c r="H35" s="172"/>
      <x:c r="I35" s="172"/>
      <x:c r="J35" s="172"/>
      <x:c r="K35" s="172"/>
      <x:c r="L35" s="172"/>
    </x:row>
    <x:row r="36" ht="29" customHeight="1">
      <x:c r="A36" s="163" t="str">
        <x:v>Assessment Logic</x:v>
      </x:c>
      <x:c r="B36" s="163"/>
      <x:c r="C36" s="163"/>
      <x:c r="D36" s="158" t="str">
        <x:v>Theme, capability, root cause and pattern; why the incident chain is illustrative.</x:v>
      </x:c>
      <x:c r="E36" s="158"/>
      <x:c r="F36" s="158"/>
      <x:c r="G36" s="158"/>
      <x:c r="H36" s="158"/>
      <x:c r="I36" s="158"/>
      <x:c r="J36" s="158"/>
      <x:c r="K36" s="158"/>
      <x:c r="L36" s="158"/>
    </x:row>
    <x:row r="37" ht="29" customHeight="1">
      <x:c r="A37" s="167" t="str">
        <x:v>Data &amp; Scope</x:v>
      </x:c>
      <x:c r="B37" s="167"/>
      <x:c r="C37" s="167"/>
      <x:c r="D37" s="172" t="str">
        <x:v>Supplier populations, source roles and the agreed working pipeline boundary.</x:v>
      </x:c>
      <x:c r="E37" s="172"/>
      <x:c r="F37" s="172"/>
      <x:c r="G37" s="172"/>
      <x:c r="H37" s="172"/>
      <x:c r="I37" s="172"/>
      <x:c r="J37" s="172"/>
      <x:c r="K37" s="172"/>
      <x:c r="L37" s="172"/>
    </x:row>
    <x:row r="38" ht="29" customHeight="1">
      <x:c r="A38" s="163" t="str">
        <x:v>Worked Example</x:v>
      </x:c>
      <x:c r="B38" s="163"/>
      <x:c r="C38" s="163"/>
      <x:c r="D38" s="158" t="str">
        <x:v>A hypothetical scanning-service review plus the IBM attribution distinction.</x:v>
      </x:c>
      <x:c r="E38" s="158"/>
      <x:c r="F38" s="158"/>
      <x:c r="G38" s="158"/>
      <x:c r="H38" s="158"/>
      <x:c r="I38" s="158"/>
      <x:c r="J38" s="158"/>
      <x:c r="K38" s="158"/>
      <x:c r="L38" s="158"/>
    </x:row>
    <x:row r="39" ht="29" customHeight="1">
      <x:c r="A39" s="167" t="str">
        <x:v>Team Review</x:v>
      </x:c>
      <x:c r="B39" s="167"/>
      <x:c r="C39" s="167"/>
      <x:c r="D39" s="172" t="str">
        <x:v>Editable questions for colleagues to confirm, correct or refine this understanding.</x:v>
      </x:c>
      <x:c r="E39" s="172"/>
      <x:c r="F39" s="172"/>
      <x:c r="G39" s="172"/>
      <x:c r="H39" s="172"/>
      <x:c r="I39" s="172"/>
      <x:c r="J39" s="172"/>
      <x:c r="K39" s="172"/>
      <x:c r="L39" s="172"/>
    </x:row>
    <x:row r="40" ht="29" customHeight="1">
      <x:c r="A40" s="163" t="str">
        <x:v>Sources</x:v>
      </x:c>
      <x:c r="B40" s="163"/>
      <x:c r="C40" s="163"/>
      <x:c r="D40" s="158" t="str">
        <x:v>Supplied-material register and 24 timestamped meeting references.</x:v>
      </x:c>
      <x:c r="E40" s="158"/>
      <x:c r="F40" s="158"/>
      <x:c r="G40" s="158"/>
      <x:c r="H40" s="158"/>
      <x:c r="I40" s="158"/>
      <x:c r="J40" s="158"/>
      <x:c r="K40" s="158"/>
      <x:c r="L40" s="158"/>
    </x:row>
    <x:row r="41" ht="20" customHeight="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</x:row>
    <x:row r="42" ht="20" customHeight="1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</x:row>
    <x:row r="43" ht="21" customHeight="1">
      <x:c r="A43" s="94" t="str">
        <x:v>CONCEPTS</x:v>
      </x:c>
      <x:c r="B43" s="94"/>
      <x:c r="C43" s="94"/>
      <x:c r="D43" s="94"/>
      <x:c r="E43" s="94" t="str">
        <x:v>PRODUCT-FLOW STEPS</x:v>
      </x:c>
      <x:c r="F43" s="94"/>
      <x:c r="G43" s="94"/>
      <x:c r="H43" s="94"/>
      <x:c r="I43" s="94" t="str">
        <x:v>OPEN TEAM QUESTIONS</x:v>
      </x:c>
      <x:c r="J43" s="94"/>
      <x:c r="K43" s="94"/>
      <x:c r="L43" s="94"/>
    </x:row>
    <x:row r="44" ht="24" customHeight="1">
      <x:c r="A44" s="178" t="n">
        <x:f>COUNTA('Concepts'!B7:B36)</x:f>
        <x:v>30</x:v>
      </x:c>
      <x:c r="B44" s="178"/>
      <x:c r="C44" s="178"/>
      <x:c r="D44" s="178"/>
      <x:c r="E44" s="178" t="n">
        <x:f>COUNTA('Product Flow'!A7:A15)</x:f>
        <x:v>9</x:v>
      </x:c>
      <x:c r="F44" s="178"/>
      <x:c r="G44" s="178"/>
      <x:c r="H44" s="178"/>
      <x:c r="I44" s="178" t="n">
        <x:f>COUNTIF('Team Review'!E13:E26,"Open")</x:f>
        <x:v>14</x:v>
      </x:c>
      <x:c r="J44" s="178"/>
      <x:c r="K44" s="178"/>
      <x:c r="L44" s="178"/>
    </x:row>
    <x:row r="45" ht="24" customHeight="1">
      <x:c r="A45" s="178"/>
      <x:c r="B45" s="178"/>
      <x:c r="C45" s="178"/>
      <x:c r="D45" s="178"/>
      <x:c r="E45" s="178"/>
      <x:c r="F45" s="178"/>
      <x:c r="G45" s="178"/>
      <x:c r="H45" s="178"/>
      <x:c r="I45" s="178"/>
      <x:c r="J45" s="178"/>
      <x:c r="K45" s="178"/>
      <x:c r="L45" s="178"/>
    </x:row>
    <x:row r="46" ht="20" customHeight="1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</x:row>
    <x:row r="47" ht="20" customHeight="1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</x:row>
    <x:row r="48" ht="23" customHeight="1">
      <x:c r="A48" s="184" t="str">
        <x:v>Discussion objective: confirm, correct or refine this understanding before treating it as a formal product or delivery specification.</x:v>
      </x:c>
      <x:c r="B48" s="184"/>
      <x:c r="C48" s="184"/>
      <x:c r="D48" s="184"/>
      <x:c r="E48" s="184"/>
      <x:c r="F48" s="184"/>
      <x:c r="G48" s="184"/>
      <x:c r="H48" s="184"/>
      <x:c r="I48" s="184"/>
      <x:c r="J48" s="184"/>
      <x:c r="K48" s="184"/>
      <x:c r="L48" s="184"/>
    </x:row>
    <x:row r="49" ht="23" customHeight="1">
      <x:c r="A49" s="184"/>
      <x:c r="B49" s="184"/>
      <x:c r="C49" s="184"/>
      <x:c r="D49" s="184"/>
      <x:c r="E49" s="184"/>
      <x:c r="F49" s="184"/>
      <x:c r="G49" s="184"/>
      <x:c r="H49" s="184"/>
      <x:c r="I49" s="184"/>
      <x:c r="J49" s="184"/>
      <x:c r="K49" s="184"/>
      <x:c r="L49" s="184"/>
    </x:row>
    <x:row r="50" ht="20" customHeight="1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</x:row>
    <x:row r="51" ht="20" customHeight="1">
      <x:c r="A51" s="190" t="str">
        <x:v>HSBC-inspired colour palette. This workbook is an independent discussion aid, not an official HSBC template. No external sources were used to resolve gaps in the supplied material.</x:v>
      </x:c>
      <x:c r="B51" s="190"/>
      <x:c r="C51" s="190"/>
      <x:c r="D51" s="190"/>
      <x:c r="E51" s="190"/>
      <x:c r="F51" s="190"/>
      <x:c r="G51" s="190"/>
      <x:c r="H51" s="190"/>
      <x:c r="I51" s="190"/>
      <x:c r="J51" s="190"/>
      <x:c r="K51" s="190"/>
      <x:c r="L51" s="190"/>
    </x:row>
    <x:row r="52" ht="20" customHeight="1">
      <x:c r="A52" s="190"/>
      <x:c r="B52" s="190"/>
      <x:c r="C52" s="190"/>
      <x:c r="D52" s="190"/>
      <x:c r="E52" s="190"/>
      <x:c r="F52" s="190"/>
      <x:c r="G52" s="190"/>
      <x:c r="H52" s="190"/>
      <x:c r="I52" s="190"/>
      <x:c r="J52" s="190"/>
      <x:c r="K52" s="190"/>
      <x:c r="L52" s="190"/>
    </x:row>
    <x:row r="53" ht="20" customHeight="1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</x:row>
  </x:sheetData>
  <x:mergeCells>
    <x:mergeCell ref="A1:L2"/>
    <x:mergeCell ref="A3:L3"/>
    <x:mergeCell ref="A4:L4"/>
    <x:mergeCell ref="A6:L6"/>
    <x:mergeCell ref="A7:L9"/>
    <x:mergeCell ref="A10:L10"/>
    <x:mergeCell ref="A12:L12"/>
    <x:mergeCell ref="A13:C13"/>
    <x:mergeCell ref="A14:C17"/>
    <x:mergeCell ref="D13:F13"/>
    <x:mergeCell ref="D14:F17"/>
    <x:mergeCell ref="G13:I13"/>
    <x:mergeCell ref="G14:I17"/>
    <x:mergeCell ref="J13:L13"/>
    <x:mergeCell ref="J14:L17"/>
    <x:mergeCell ref="A18:L18"/>
    <x:mergeCell ref="A20:L20"/>
    <x:mergeCell ref="A21:L23"/>
    <x:mergeCell ref="A24:L24"/>
    <x:mergeCell ref="A26:F26"/>
    <x:mergeCell ref="G26:L26"/>
    <x:mergeCell ref="A27:F31"/>
    <x:mergeCell ref="G27:L31"/>
    <x:mergeCell ref="A33:L33"/>
    <x:mergeCell ref="A34:C34"/>
    <x:mergeCell ref="D34:L34"/>
    <x:mergeCell ref="A35:C35"/>
    <x:mergeCell ref="D35:L35"/>
    <x:mergeCell ref="A36:C36"/>
    <x:mergeCell ref="D36:L36"/>
    <x:mergeCell ref="A37:C37"/>
    <x:mergeCell ref="D37:L37"/>
    <x:mergeCell ref="A38:C38"/>
    <x:mergeCell ref="D38:L38"/>
    <x:mergeCell ref="A39:C39"/>
    <x:mergeCell ref="D39:L39"/>
    <x:mergeCell ref="A40:C40"/>
    <x:mergeCell ref="D40:L40"/>
    <x:mergeCell ref="A43:D43"/>
    <x:mergeCell ref="A44:D45"/>
    <x:mergeCell ref="E43:H43"/>
    <x:mergeCell ref="E44:H45"/>
    <x:mergeCell ref="I43:L43"/>
    <x:mergeCell ref="I44:L45"/>
    <x:mergeCell ref="A48:L49"/>
    <x:mergeCell ref="A51:L5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B001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1.880000114440918" hidden="0" customWidth="1"/>
    <x:col min="2" max="2" width="23.1299991607666" hidden="0" customWidth="1"/>
    <x:col min="3" max="3" width="33.75" hidden="0" customWidth="1"/>
    <x:col min="4" max="4" width="28.1299991607666" hidden="0" customWidth="1"/>
    <x:col min="5" max="5" width="29.3799991607666" hidden="0" customWidth="1"/>
    <x:col min="6" max="6" width="36.25" hidden="0" customWidth="1"/>
    <x:col min="7" max="7" width="18.1299991607666" hidden="0" customWidth="1"/>
  </x:cols>
  <x:sheetData>
    <x:row r="1" ht="25" customHeight="1">
      <x:c r="A1" s="32" t="str">
        <x:v>Concepts | Shared vocabulary</x:v>
      </x:c>
      <x:c r="B1" s="32"/>
      <x:c r="C1" s="32"/>
      <x:c r="D1" s="32"/>
      <x:c r="E1" s="32"/>
      <x:c r="F1" s="32"/>
      <x:c r="G1" s="32"/>
    </x:row>
    <x:row r="2" ht="25" customHeight="1">
      <x:c r="A2" s="32"/>
      <x:c r="B2" s="32"/>
      <x:c r="C2" s="32"/>
      <x:c r="D2" s="32"/>
      <x:c r="E2" s="32"/>
      <x:c r="F2" s="32"/>
      <x:c r="G2" s="32"/>
    </x:row>
    <x:row r="3" ht="25" customHeight="1">
      <x:c r="A3" s="41" t="str">
        <x:v>TERM  •  DEFINITION  •  PLAIN ENGLISH  •  EXAMPLE  •  KEY DISTINCTION</x:v>
      </x:c>
      <x:c r="B3" s="41"/>
      <x:c r="C3" s="41"/>
      <x:c r="D3" s="41"/>
      <x:c r="E3" s="41"/>
      <x:c r="F3" s="41"/>
      <x:c r="G3" s="41"/>
    </x:row>
    <x:row r="4" ht="31" customHeight="1">
      <x:c r="A4" s="49" t="str">
        <x:v>Working explanations, not a formal HSBC glossary. Source references resolve on the Sources sheet; illustrative examples are not real cases.</x:v>
      </x:c>
      <x:c r="B4" s="49"/>
      <x:c r="C4" s="49"/>
      <x:c r="D4" s="49"/>
      <x:c r="E4" s="49"/>
      <x:c r="F4" s="49"/>
      <x:c r="G4" s="49"/>
    </x:row>
    <x:row r="5" ht="10" customHeight="1">
      <x:c r="A5" s="19"/>
      <x:c r="B5" s="19"/>
      <x:c r="C5" s="19"/>
      <x:c r="D5" s="19"/>
      <x:c r="E5" s="19"/>
      <x:c r="F5" s="19"/>
      <x:c r="G5" s="19"/>
    </x:row>
    <x:row r="6" ht="32" customHeight="1">
      <x:c r="A6" s="194" t="str">
        <x:v>Category</x:v>
      </x:c>
      <x:c r="B6" s="194" t="str">
        <x:v>Term</x:v>
      </x:c>
      <x:c r="C6" s="194" t="str">
        <x:v>Definition</x:v>
      </x:c>
      <x:c r="D6" s="194" t="str">
        <x:v>In plain English</x:v>
      </x:c>
      <x:c r="E6" s="194" t="str">
        <x:v>Example</x:v>
      </x:c>
      <x:c r="F6" s="194" t="str">
        <x:v>Key point / boundary</x:v>
      </x:c>
      <x:c r="G6" s="194" t="str">
        <x:v>Source references</x:v>
      </x:c>
    </x:row>
    <x:row r="7" ht="68" customHeight="1">
      <x:c r="A7" s="195" t="str">
        <x:v>Programme</x:v>
      </x:c>
      <x:c r="B7" s="196" t="str">
        <x:v>Helix</x:v>
      </x:c>
      <x:c r="C7" s="195" t="str">
        <x:v>The supplier-resilience programme described in the meeting.</x:v>
      </x:c>
      <x:c r="D7" s="195" t="str">
        <x:v>Improve how the bank prepares for and responds to supplier failures.</x:v>
      </x:c>
      <x:c r="E7" s="195" t="str">
        <x:v>Review important suppliers and follow up resilience improvements.</x:v>
      </x:c>
      <x:c r="F7" s="195" t="str">
        <x:v>Helix is the programme; Helios is a source system.</x:v>
      </x:c>
      <x:c r="G7" s="197" t="str">
        <x:v>M02; M03; M12</x:v>
      </x:c>
    </x:row>
    <x:row r="8" ht="71.19999694824219" customHeight="1">
      <x:c r="A8" s="198" t="str">
        <x:v>Product</x:v>
      </x:c>
      <x:c r="B8" s="199" t="str">
        <x:v>WS4</x:v>
      </x:c>
      <x:c r="C8" s="198" t="str">
        <x:v>A supplier-resilience assessment and improvement assistant, as understood from the supplied material.</x:v>
      </x:c>
      <x:c r="D8" s="198" t="str">
        <x:v>Find relevant problems, understand the evidence and support better questions and actions.</x:v>
      </x:c>
      <x:c r="E8" s="198" t="str">
        <x:v>A TPM reviews a supplier's services, incidents and capability concerns.</x:v>
      </x:c>
      <x:c r="F8" s="198" t="str">
        <x:v>This describes the target understanding, not an approved first-release scope.</x:v>
      </x:c>
      <x:c r="G8" s="200" t="str">
        <x:v>U01; M14; M16</x:v>
      </x:c>
    </x:row>
    <x:row r="9" ht="71.19999694824219" customHeight="1">
      <x:c r="A9" s="195" t="str">
        <x:v>Business</x:v>
      </x:c>
      <x:c r="B9" s="196" t="str">
        <x:v>Supplier resilience</x:v>
      </x:c>
      <x:c r="C9" s="195" t="str">
        <x:v>The ability and arrangements to sustain or recover the service the bank depends on when disruption occurs.</x:v>
      </x:c>
      <x:c r="D9" s="195" t="str">
        <x:v>Reduce failure and preserve customer service when failure still happens.</x:v>
      </x:c>
      <x:c r="E9" s="195" t="str">
        <x:v>Use alternative equipment or a backup site when a scanning service fails.</x:v>
      </x:c>
      <x:c r="F9" s="195" t="str">
        <x:v>The customer/service outcome matters, not only whether a server is running.</x:v>
      </x:c>
      <x:c r="G9" s="197" t="str">
        <x:v>U01; M01; M03; M10</x:v>
      </x:c>
    </x:row>
    <x:row r="10" ht="68" customHeight="1">
      <x:c r="A10" s="198" t="str">
        <x:v>Business</x:v>
      </x:c>
      <x:c r="B10" s="199" t="str">
        <x:v>Supplier</x:v>
      </x:c>
      <x:c r="C10" s="198" t="str">
        <x:v>A third party that provides a service, product or supporting infrastructure to the bank.</x:v>
      </x:c>
      <x:c r="D10" s="198" t="str">
        <x:v>The external organisation involved in the service relationship.</x:v>
      </x:c>
      <x:c r="E10" s="198" t="str">
        <x:v>An infrastructure provider or a letter-scanning service provider.</x:v>
      </x:c>
      <x:c r="F10" s="198" t="str">
        <x:v>A named supplier is not automatically the cause of an incident.</x:v>
      </x:c>
      <x:c r="G10" s="200" t="str">
        <x:v>U01; M04; M05</x:v>
      </x:c>
    </x:row>
    <x:row r="11" ht="68" customHeight="1">
      <x:c r="A11" s="195" t="str">
        <x:v>Business</x:v>
      </x:c>
      <x:c r="B11" s="196" t="str">
        <x:v>Service</x:v>
      </x:c>
      <x:c r="C11" s="195" t="str">
        <x:v>The activity or outcome provided to the bank by a supplier.</x:v>
      </x:c>
      <x:c r="D11" s="195" t="str">
        <x:v>What the bank receives, rather than just the technology used to deliver it.</x:v>
      </x:c>
      <x:c r="E11" s="195" t="str">
        <x:v>Receive, scan and distribute incoming letters.</x:v>
      </x:c>
      <x:c r="F11" s="195" t="str">
        <x:v>A technology-enabled business service is not necessarily an IT service.</x:v>
      </x:c>
      <x:c r="G11" s="197" t="str">
        <x:v>U01; M10; M15</x:v>
      </x:c>
    </x:row>
    <x:row r="12" ht="68" customHeight="1">
      <x:c r="A12" s="198" t="str">
        <x:v>Scope</x:v>
      </x:c>
      <x:c r="B12" s="199" t="str">
        <x:v>Important Business Service (IBS)</x:v>
      </x:c>
      <x:c r="C12" s="198" t="str">
        <x:v>A bank service designated important; the meeting illustrates this through potential customer harm.</x:v>
      </x:c>
      <x:c r="D12" s="198" t="str">
        <x:v>A service whose failure can have serious consequences for customers.</x:v>
      </x:c>
      <x:c r="E12" s="198" t="str">
        <x:v>Mortgage completion and release of funds are discussed as examples.</x:v>
      </x:c>
      <x:c r="F12" s="198" t="str">
        <x:v>Meeting explanation only; use the approved IBS definition and inventory for formal decisions.</x:v>
      </x:c>
      <x:c r="G12" s="200" t="str">
        <x:v>IMG02; M02; M12</x:v>
      </x:c>
    </x:row>
    <x:row r="13" ht="68" customHeight="1">
      <x:c r="A13" s="195" t="str">
        <x:v>Scope</x:v>
      </x:c>
      <x:c r="B13" s="196" t="str">
        <x:v>Material supplier</x:v>
      </x:c>
      <x:c r="C13" s="195" t="str">
        <x:v>A supplier assessed as material under the internal process described in the meeting.</x:v>
      </x:c>
      <x:c r="D13" s="195" t="str">
        <x:v>A supplier that meets the bank's materiality criteria.</x:v>
      </x:c>
      <x:c r="E13" s="195" t="str">
        <x:v>The meeting describes around 1,000 material suppliers.</x:v>
      </x:c>
      <x:c r="F13" s="195" t="str">
        <x:v>Material is not the same as important to an IBS; obtain the formal checklist.</x:v>
      </x:c>
      <x:c r="G13" s="197" t="str">
        <x:v>U01; IMG01; IMG02; M02</x:v>
      </x:c>
    </x:row>
    <x:row r="14" ht="68" customHeight="1">
      <x:c r="A14" s="198" t="str">
        <x:v>Category</x:v>
      </x:c>
      <x:c r="B14" s="199" t="str">
        <x:v>Technology supplier</x:v>
      </x:c>
      <x:c r="C14" s="198" t="str">
        <x:v>A supplier of technology services such as software, infrastructure or telecommunications.</x:v>
      </x:c>
      <x:c r="D14" s="198" t="str">
        <x:v>Provides the technology service or platform.</x:v>
      </x:c>
      <x:c r="E14" s="198" t="str">
        <x:v>On-premises software, externally hosted software or telecoms.</x:v>
      </x:c>
      <x:c r="F14" s="198" t="str">
        <x:v>Programme scope also includes non-technology business services.</x:v>
      </x:c>
      <x:c r="G14" s="200" t="str">
        <x:v>IMG03; M04</x:v>
      </x:c>
    </x:row>
    <x:row r="15" ht="68" customHeight="1">
      <x:c r="A15" s="195" t="str">
        <x:v>Category</x:v>
      </x:c>
      <x:c r="B15" s="196" t="str">
        <x:v>Business supplier</x:v>
      </x:c>
      <x:c r="C15" s="195" t="str">
        <x:v>A supplier of an operational/business service that may itself rely on technology.</x:v>
      </x:c>
      <x:c r="D15" s="195" t="str">
        <x:v>Provides a business activity rather than primarily an IT service.</x:v>
      </x:c>
      <x:c r="E15" s="195" t="str">
        <x:v>Cash movements, post, building services or scanning letters.</x:v>
      </x:c>
      <x:c r="F15" s="195" t="str">
        <x:v>Do not classify solely by whether technology is used.</x:v>
      </x:c>
      <x:c r="G15" s="197" t="str">
        <x:v>IMG03; M04; M10</x:v>
      </x:c>
    </x:row>
    <x:row r="16" ht="71.19999694824219" customHeight="1">
      <x:c r="A16" s="198" t="str">
        <x:v>Relationship</x:v>
      </x:c>
      <x:c r="B16" s="199" t="str">
        <x:v>Engagement</x:v>
      </x:c>
      <x:c r="C16" s="198" t="str">
        <x:v>The specific supplier relationship/service engagement used as the current assessment level in the meeting.</x:v>
      </x:c>
      <x:c r="D16" s="198" t="str">
        <x:v>The particular relationship being reviewed, not automatically the whole supplier group.</x:v>
      </x:c>
      <x:c r="E16" s="198" t="str">
        <x:v>One engagement for a specific service supplied to the bank.</x:v>
      </x:c>
      <x:c r="F16" s="198" t="str">
        <x:v>Do not assume one engagement equals one contract or one entire corporate group.</x:v>
      </x:c>
      <x:c r="G16" s="200" t="str">
        <x:v>M14; M24</x:v>
      </x:c>
    </x:row>
    <x:row r="17" ht="68" customHeight="1">
      <x:c r="A17" s="195" t="str">
        <x:v>User</x:v>
      </x:c>
      <x:c r="B17" s="196" t="str">
        <x:v>Third Party Engagement Manager (TPM)</x:v>
      </x:c>
      <x:c r="C17" s="195" t="str">
        <x:v>The person described as owning and managing the engagement with the third party.</x:v>
      </x:c>
      <x:c r="D17" s="195" t="str">
        <x:v>The user who needs a coherent view before discussions with the supplier.</x:v>
      </x:c>
      <x:c r="E17" s="195" t="str">
        <x:v>Prepare for a supplier review using services, incidents and recommended questions.</x:v>
      </x:c>
      <x:c r="F17" s="195" t="str">
        <x:v>TPM is a role; OneTPM is a system.</x:v>
      </x:c>
      <x:c r="G17" s="197" t="str">
        <x:v>M14; M15</x:v>
      </x:c>
    </x:row>
    <x:row r="18" ht="71.19999694824219" customHeight="1">
      <x:c r="A18" s="198" t="str">
        <x:v>Incident</x:v>
      </x:c>
      <x:c r="B18" s="199" t="str">
        <x:v>Outage</x:v>
      </x:c>
      <x:c r="C18" s="198" t="str">
        <x:v>A complete interruption or loss of availability of an operational or banking service, as described in the supplied notes.</x:v>
      </x:c>
      <x:c r="D18" s="198" t="str">
        <x:v>The service is unavailable.</x:v>
      </x:c>
      <x:c r="E18" s="198" t="str">
        <x:v>A payment service stops, affecting mortgage completion.</x:v>
      </x:c>
      <x:c r="F18" s="198" t="str">
        <x:v>Working definition: confirm partial-outage usage and the formal relationship to incident records.</x:v>
      </x:c>
      <x:c r="G18" s="200" t="str">
        <x:v>U01; M01</x:v>
      </x:c>
    </x:row>
    <x:row r="19" ht="68" customHeight="1">
      <x:c r="A19" s="195" t="str">
        <x:v>Incident</x:v>
      </x:c>
      <x:c r="B19" s="196" t="str">
        <x:v>Incident</x:v>
      </x:c>
      <x:c r="C19" s="195" t="str">
        <x:v>An unplanned event causing disruption or reduced quality in an IT system or business process.</x:v>
      </x:c>
      <x:c r="D19" s="195" t="str">
        <x:v>Something happened that disrupted normal service.</x:v>
      </x:c>
      <x:c r="E19" s="195" t="str">
        <x:v>A payment timeout or a business-service interruption is recorded.</x:v>
      </x:c>
      <x:c r="F19" s="195" t="str">
        <x:v>An incident record does not, by itself, establish a root cause or supplier fault.</x:v>
      </x:c>
      <x:c r="G19" s="197" t="str">
        <x:v>U01; M05; M09; M12</x:v>
      </x:c>
    </x:row>
    <x:row r="20" ht="71.19999694824219" customHeight="1">
      <x:c r="A20" s="198" t="str">
        <x:v>Incident</x:v>
      </x:c>
      <x:c r="B20" s="199" t="str">
        <x:v>Problem</x:v>
      </x:c>
      <x:c r="C20" s="198" t="str">
        <x:v>The supplied notes use this term for an underlying cause of one or more incidents; problem analysis seeks a root cause.</x:v>
      </x:c>
      <x:c r="D20" s="198" t="str">
        <x:v>Investigate why one or more incidents occurred.</x:v>
      </x:c>
      <x:c r="E20" s="198" t="str">
        <x:v>Investigate whether a failure followed a supplier defect or an internal change.</x:v>
      </x:c>
      <x:c r="F20" s="198" t="str">
        <x:v>Working definition: do not equate a Problem record with a proven root cause.</x:v>
      </x:c>
      <x:c r="G20" s="200" t="str">
        <x:v>U01; M05</x:v>
      </x:c>
    </x:row>
    <x:row r="21" ht="71.19999694824219" customHeight="1">
      <x:c r="A21" s="195" t="str">
        <x:v>Incident</x:v>
      </x:c>
      <x:c r="B21" s="196" t="str">
        <x:v>Issue</x:v>
      </x:c>
      <x:c r="C21" s="195" t="str">
        <x:v>A weakness, deficiency or vulnerability in resilience, identified before disruption or through later assessment.</x:v>
      </x:c>
      <x:c r="D21" s="195" t="str">
        <x:v>A concern that may need to be addressed.</x:v>
      </x:c>
      <x:c r="E21" s="195" t="str">
        <x:v>An assessment identifies inadequate recovery arrangements.</x:v>
      </x:c>
      <x:c r="F21" s="195" t="str">
        <x:v>Working definition: confirm the exact semantics of a Helios Issue record.</x:v>
      </x:c>
      <x:c r="G21" s="197" t="str">
        <x:v>U01; M11; M12</x:v>
      </x:c>
    </x:row>
    <x:row r="22" ht="68" customHeight="1">
      <x:c r="A22" s="198" t="str">
        <x:v>Remediation</x:v>
      </x:c>
      <x:c r="B22" s="199" t="str">
        <x:v>Action / Remediation action</x:v>
      </x:c>
      <x:c r="C22" s="198" t="str">
        <x:v>A practical step defined to address an issue or improve resilience.</x:v>
      </x:c>
      <x:c r="D22" s="198" t="str">
        <x:v>What someone needs to do to improve the situation.</x:v>
      </x:c>
      <x:c r="E22" s="198" t="str">
        <x:v>Improve testing, add backup arrangements or update contractual requirements.</x:v>
      </x:c>
      <x:c r="F22" s="198" t="str">
        <x:v>An action being recorded or closed is not, on its own, proof of effective remediation.</x:v>
      </x:c>
      <x:c r="G22" s="200" t="str">
        <x:v>U01; M03; M11; M20</x:v>
      </x:c>
    </x:row>
    <x:row r="23" ht="68" customHeight="1">
      <x:c r="A23" s="195" t="str">
        <x:v>Outcome</x:v>
      </x:c>
      <x:c r="B23" s="196" t="str">
        <x:v>Disruptive minutes</x:v>
      </x:c>
      <x:c r="C23" s="195" t="str">
        <x:v>The disruption-duration measure used in the programme discussion.</x:v>
      </x:c>
      <x:c r="D23" s="195" t="str">
        <x:v>A way to describe how long service/customer disruption lasts.</x:v>
      </x:c>
      <x:c r="E23" s="195" t="str">
        <x:v>The meeting reports reductions following the existing resilience programme.</x:v>
      </x:c>
      <x:c r="F23" s="195" t="str">
        <x:v>No calculation rule, exact reduction or AI-attributable benefit is supplied.</x:v>
      </x:c>
      <x:c r="G23" s="197" t="str">
        <x:v>U01; M03</x:v>
      </x:c>
    </x:row>
    <x:row r="24" ht="68" customHeight="1">
      <x:c r="A24" s="198" t="str">
        <x:v>Assessment</x:v>
      </x:c>
      <x:c r="B24" s="199" t="str">
        <x:v>Theme</x:v>
      </x:c>
      <x:c r="C24" s="198" t="str">
        <x:v>A broad resilience area used to group capabilities and related concerns.</x:v>
      </x:c>
      <x:c r="D24" s="198" t="str">
        <x:v>The high-level topic under which a weakness is reviewed.</x:v>
      </x:c>
      <x:c r="E24" s="198" t="str">
        <x:v>Change Management, Monitoring &amp; Alerting or Disaster Recovery.</x:v>
      </x:c>
      <x:c r="F24" s="198" t="str">
        <x:v>Technology has 10 themes in the meeting; do not invent the full list.</x:v>
      </x:c>
      <x:c r="G24" s="200" t="str">
        <x:v>U01; M06; M21</x:v>
      </x:c>
    </x:row>
    <x:row r="25" ht="68" customHeight="1">
      <x:c r="A25" s="195" t="str">
        <x:v>Assessment</x:v>
      </x:c>
      <x:c r="B25" s="196" t="str">
        <x:v>Capability</x:v>
      </x:c>
      <x:c r="C25" s="195" t="str">
        <x:v>A specific operational ability, arrangement or control expected to support resilience.</x:v>
      </x:c>
      <x:c r="D25" s="195" t="str">
        <x:v>What the supplier needs to be able to do reliably.</x:v>
      </x:c>
      <x:c r="E25" s="195" t="str">
        <x:v>Testing, change governance, communication or recovery arrangements.</x:v>
      </x:c>
      <x:c r="F25" s="195" t="str">
        <x:v>Approximately 100 technology capabilities are discussed; business taxonomy is still developing.</x:v>
      </x:c>
      <x:c r="G25" s="197" t="str">
        <x:v>U01; M21; M22</x:v>
      </x:c>
    </x:row>
    <x:row r="26" ht="68" customHeight="1">
      <x:c r="A26" s="198" t="str">
        <x:v>Assessment</x:v>
      </x:c>
      <x:c r="B26" s="199" t="str">
        <x:v>Root cause</x:v>
      </x:c>
      <x:c r="C26" s="198" t="str">
        <x:v>The underlying reason an incident or outage occurred, where supported by the investigation evidence.</x:v>
      </x:c>
      <x:c r="D26" s="198" t="str">
        <x:v>Why this particular failure happened.</x:v>
      </x:c>
      <x:c r="E26" s="198" t="str">
        <x:v>In the meeting's IBM example, an internal HSBC change caused the failure.</x:v>
      </x:c>
      <x:c r="F26" s="198" t="str">
        <x:v>A supplier capability failure is not automatic; preserve uncertainty and responsibility distinctions.</x:v>
      </x:c>
      <x:c r="G26" s="200" t="str">
        <x:v>U01; M05; M22</x:v>
      </x:c>
    </x:row>
    <x:row r="27" ht="68" customHeight="1">
      <x:c r="A27" s="195" t="str">
        <x:v>Assessment</x:v>
      </x:c>
      <x:c r="B27" s="196" t="str">
        <x:v>Pattern</x:v>
      </x:c>
      <x:c r="C27" s="195" t="str">
        <x:v>A recurring behaviour or trend identified across historical incident evidence.</x:v>
      </x:c>
      <x:c r="D27" s="195" t="str">
        <x:v>Something that keeps happening across cases or over time.</x:v>
      </x:c>
      <x:c r="E27" s="195" t="str">
        <x:v>A new incident relates to a capability the supplier said it had improved.</x:v>
      </x:c>
      <x:c r="F27" s="195" t="str">
        <x:v>Patterns are discovered from data; recurrence is a review signal, not automatic proof of breach.</x:v>
      </x:c>
      <x:c r="G27" s="197" t="str">
        <x:v>U01; M20; M21</x:v>
      </x:c>
    </x:row>
    <x:row r="28" ht="68" customHeight="1">
      <x:c r="A28" s="198" t="str">
        <x:v>Assessment</x:v>
      </x:c>
      <x:c r="B28" s="199" t="str">
        <x:v>TRF / TPR questionnaire</x:v>
      </x:c>
      <x:c r="C28" s="198" t="str">
        <x:v>The resilience-capability question set referred to by these labels in the supplied material.</x:v>
      </x:c>
      <x:c r="D28" s="198" t="str">
        <x:v>Ask the supplier for evidence of relevant resilience capabilities.</x:v>
      </x:c>
      <x:c r="E28" s="198" t="str">
        <x:v>A question asks about testing or recovery arrangements.</x:v>
      </x:c>
      <x:c r="F28" s="198" t="str">
        <x:v>Confirm the official name/acronym and version; current tech practice uses service-specific full sets.</x:v>
      </x:c>
      <x:c r="G28" s="200" t="str">
        <x:v>U01; M03; M06; M07</x:v>
      </x:c>
    </x:row>
    <x:row r="29" ht="68" customHeight="1">
      <x:c r="A29" s="195" t="str">
        <x:v>Remediation</x:v>
      </x:c>
      <x:c r="B29" s="196" t="str">
        <x:v>Contractual uplift</x:v>
      </x:c>
      <x:c r="C29" s="195" t="str">
        <x:v>A change to contractual requirements intended to support identified resilience improvements.</x:v>
      </x:c>
      <x:c r="D29" s="195" t="str">
        <x:v>Make required improvements explicit in the supplier agreement.</x:v>
      </x:c>
      <x:c r="E29" s="195" t="str">
        <x:v>Add agreed obligations for resilience arrangements.</x:v>
      </x:c>
      <x:c r="F29" s="195" t="str">
        <x:v>An uplift is an agreed contractual action, not a decision made automatically by the LLM.</x:v>
      </x:c>
      <x:c r="G29" s="197" t="str">
        <x:v>U01; M03; M11</x:v>
      </x:c>
    </x:row>
    <x:row r="30" ht="68" customHeight="1">
      <x:c r="A30" s="198" t="str">
        <x:v>Continuity</x:v>
      </x:c>
      <x:c r="B30" s="199" t="str">
        <x:v>Business Continuity Plan (BCP)</x:v>
      </x:c>
      <x:c r="C30" s="198" t="str">
        <x:v>A plan describing how operations would continue or recover under disruption scenarios.</x:v>
      </x:c>
      <x:c r="D30" s="198" t="str">
        <x:v>What to do when normal service is unavailable.</x:v>
      </x:c>
      <x:c r="E30" s="198" t="str">
        <x:v>Use an alternative site for letter processing.</x:v>
      </x:c>
      <x:c r="F30" s="198" t="str">
        <x:v>A scenario in a plan is not evidence that the event actually happened.</x:v>
      </x:c>
      <x:c r="G30" s="200" t="str">
        <x:v>U01; M10; M17</x:v>
      </x:c>
    </x:row>
    <x:row r="31" ht="68" customHeight="1">
      <x:c r="A31" s="195" t="str">
        <x:v>Continuity</x:v>
      </x:c>
      <x:c r="B31" s="196" t="str">
        <x:v>Disaster recovery site</x:v>
      </x:c>
      <x:c r="C31" s="195" t="str">
        <x:v>A backup location or arrangement discussed for restoring service after disruption.</x:v>
      </x:c>
      <x:c r="D31" s="195" t="str">
        <x:v>An alternative place or setup used when the main one cannot operate.</x:v>
      </x:c>
      <x:c r="E31" s="195" t="str">
        <x:v>Move scanning work to a backup site with suitable equipment.</x:v>
      </x:c>
      <x:c r="F31" s="195" t="str">
        <x:v>The example illustrates an assessment question; the required design depends on the service.</x:v>
      </x:c>
      <x:c r="G31" s="197" t="str">
        <x:v>U01; M10; M22</x:v>
      </x:c>
    </x:row>
    <x:row r="32" ht="68" customHeight="1">
      <x:c r="A32" s="198" t="str">
        <x:v>Capability</x:v>
      </x:c>
      <x:c r="B32" s="199" t="str">
        <x:v>User Acceptance Testing (UAT)</x:v>
      </x:c>
      <x:c r="C32" s="198" t="str">
        <x:v>A testing capability referenced in the supplied change-management discussion.</x:v>
      </x:c>
      <x:c r="D32" s="198" t="str">
        <x:v>Check readiness before release through the relevant acceptance-testing process.</x:v>
      </x:c>
      <x:c r="E32" s="198" t="str">
        <x:v>Ask for evidence of the testing performed before a change.</x:v>
      </x:c>
      <x:c r="F32" s="198" t="str">
        <x:v>A failure does not prove that UAT was absent; exact capability wording needs confirmation.</x:v>
      </x:c>
      <x:c r="G32" s="200" t="str">
        <x:v>U01; M22</x:v>
      </x:c>
    </x:row>
    <x:row r="33" ht="68" customHeight="1">
      <x:c r="A33" s="195" t="str">
        <x:v>Continuity</x:v>
      </x:c>
      <x:c r="B33" s="196" t="str">
        <x:v>Exit planning</x:v>
      </x:c>
      <x:c r="C33" s="195" t="str">
        <x:v>Planning how to move away from a supplier relationship or service arrangement.</x:v>
      </x:c>
      <x:c r="D33" s="195" t="str">
        <x:v>Understand the alternative and how to transition to it.</x:v>
      </x:c>
      <x:c r="E33" s="195" t="str">
        <x:v>Review alternatives when supplier improvements remain inadequate.</x:v>
      </x:c>
      <x:c r="F33" s="195" t="str">
        <x:v>Linked to WS5 in the discussion; it is not an automatic consequence of any incident.</x:v>
      </x:c>
      <x:c r="G33" s="197" t="str">
        <x:v>U01; M16</x:v>
      </x:c>
    </x:row>
    <x:row r="34" ht="68" customHeight="1">
      <x:c r="A34" s="198" t="str">
        <x:v>Evidence</x:v>
      </x:c>
      <x:c r="B34" s="199" t="str">
        <x:v>Actual incident vs potential scenario</x:v>
      </x:c>
      <x:c r="C34" s="198" t="str">
        <x:v>An actual event is distinguished from a possible failure scenario in a continuity plan.</x:v>
      </x:c>
      <x:c r="D34" s="198" t="str">
        <x:v>Keep what happened separate from what might happen.</x:v>
      </x:c>
      <x:c r="E34" s="198" t="str">
        <x:v>An observed interruption versus a BCP scenario about scanner failure.</x:v>
      </x:c>
      <x:c r="F34" s="198" t="str">
        <x:v>Synthetic in this meeting refers to potential scenarios, not necessarily model-training data.</x:v>
      </x:c>
      <x:c r="G34" s="200" t="str">
        <x:v>M17</x:v>
      </x:c>
    </x:row>
    <x:row r="35" ht="68" customHeight="1">
      <x:c r="A35" s="195" t="str">
        <x:v>Relationship</x:v>
      </x:c>
      <x:c r="B35" s="196" t="str">
        <x:v>Supplier / parent hierarchy</x:v>
      </x:c>
      <x:c r="C35" s="195" t="str">
        <x:v>The relationship between a supplier entity, its engagements and any ultimate parent group.</x:v>
      </x:c>
      <x:c r="D35" s="195" t="str">
        <x:v>Separate the company being assessed from the wider corporate group.</x:v>
      </x:c>
      <x:c r="E35" s="195" t="str">
        <x:v>Several legal entities may sit within a larger supplier group.</x:v>
      </x:c>
      <x:c r="F35" s="195" t="str">
        <x:v>The meeting does not settle hierarchy availability or the exact CDMS identifier.</x:v>
      </x:c>
      <x:c r="G35" s="197" t="str">
        <x:v>M24</x:v>
      </x:c>
    </x:row>
    <x:row r="36" ht="68" customHeight="1">
      <x:c r="A36" s="198" t="str">
        <x:v>Evidence</x:v>
      </x:c>
      <x:c r="B36" s="199" t="str">
        <x:v>Supplier identification vs fault attribution</x:v>
      </x:c>
      <x:c r="C36" s="198" t="str">
        <x:v>Identifying a related company is separate from assessing who caused the disruption.</x:v>
      </x:c>
      <x:c r="D36" s="198" t="str">
        <x:v>Who is involved is not the same question as who caused the problem.</x:v>
      </x:c>
      <x:c r="E36" s="198" t="str">
        <x:v>IBM provides the mainframe; an HSBC change causes the failure.</x:v>
      </x:c>
      <x:c r="F36" s="198" t="str">
        <x:v>These are analytical distinctions, not a commitment to a fixed number of LLM calls.</x:v>
      </x:c>
      <x:c r="G36" s="200" t="str">
        <x:v>U01; M05; M18</x:v>
      </x:c>
    </x:row>
    <x:row r="37" ht="20" customHeight="1">
      <x:c r="A37" s="19"/>
      <x:c r="B37" s="19"/>
      <x:c r="C37" s="19"/>
      <x:c r="D37" s="19"/>
      <x:c r="E37" s="19"/>
      <x:c r="F37" s="19"/>
      <x:c r="G37" s="19"/>
    </x:row>
    <x:row r="38" ht="25" customHeight="1">
      <x:c r="A38" s="41" t="str">
        <x:v>READING RULE | Identity, causality and capability weakness are separate conclusions.</x:v>
      </x:c>
      <x:c r="B38" s="41"/>
      <x:c r="C38" s="41"/>
      <x:c r="D38" s="41"/>
      <x:c r="E38" s="41"/>
      <x:c r="F38" s="41"/>
      <x:c r="G38" s="41"/>
    </x:row>
    <x:row r="39" ht="20" customHeight="1">
      <x:c r="A39" s="69" t="str">
        <x:v>A supplier name can establish a candidate relationship. It does not prove cause; an incident does not automatically prove that a capability failed. Keep these distinctions visible when discussing the product.</x:v>
      </x:c>
      <x:c r="B39" s="69"/>
      <x:c r="C39" s="69"/>
      <x:c r="D39" s="69"/>
      <x:c r="E39" s="69"/>
      <x:c r="F39" s="69"/>
      <x:c r="G39" s="69"/>
    </x:row>
    <x:row r="40" ht="20" customHeight="1">
      <x:c r="A40" s="69"/>
      <x:c r="B40" s="69"/>
      <x:c r="C40" s="69"/>
      <x:c r="D40" s="69"/>
      <x:c r="E40" s="69"/>
      <x:c r="F40" s="69"/>
      <x:c r="G40" s="69"/>
    </x:row>
    <x:row r="41" ht="20" customHeight="1">
      <x:c r="A41" s="19"/>
      <x:c r="B41" s="19"/>
      <x:c r="C41" s="19"/>
      <x:c r="D41" s="19"/>
      <x:c r="E41" s="19"/>
      <x:c r="F41" s="19"/>
      <x:c r="G41" s="19"/>
    </x:row>
    <x:row r="42" ht="20" customHeight="1">
      <x:c r="A42" s="19"/>
      <x:c r="B42" s="19"/>
      <x:c r="C42" s="19"/>
      <x:c r="D42" s="19"/>
      <x:c r="E42" s="19"/>
      <x:c r="F42" s="19"/>
      <x:c r="G42" s="19"/>
    </x:row>
    <x:row r="43" ht="20" customHeight="1">
      <x:c r="A43" s="19"/>
      <x:c r="B43" s="19"/>
      <x:c r="C43" s="19"/>
      <x:c r="D43" s="19"/>
      <x:c r="E43" s="19"/>
      <x:c r="F43" s="19"/>
      <x:c r="G43" s="19"/>
    </x:row>
  </x:sheetData>
  <x:mergeCells>
    <x:mergeCell ref="A1:G2"/>
    <x:mergeCell ref="A3:G3"/>
    <x:mergeCell ref="A4:G4"/>
    <x:mergeCell ref="A38:G38"/>
    <x:mergeCell ref="A39:G40"/>
  </x:mergeCells>
  <x:pageMargins left="0.7" right="0.7" top="0.75" bottom="0.75" header="0.3" footer="0.3"/>
  <x:tableParts count="1">
    <x:tablePart xmlns:r="http://schemas.openxmlformats.org/officeDocument/2006/relationships" r:id="R460936cd49c24acf"/>
  </x:tableParts>
</x:worksheet>
</file>

<file path=xl/worksheets/sheet3.xml><?xml version="1.0" encoding="utf-8"?>
<x:worksheet xmlns:x="http://schemas.openxmlformats.org/spreadsheetml/2006/main">
  <x:sheetPr>
    <x:tabColor rgb="FF24242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.880000114440918" hidden="0" customWidth="1"/>
    <x:col min="2" max="2" width="21.8799991607666" hidden="0" customWidth="1"/>
    <x:col min="3" max="3" width="33.130001068115234" hidden="0" customWidth="1"/>
    <x:col min="4" max="4" width="35.630001068115234" hidden="0" customWidth="1"/>
    <x:col min="5" max="5" width="29.3799991607666" hidden="0" customWidth="1"/>
    <x:col min="6" max="6" width="35.630001068115234" hidden="0" customWidth="1"/>
    <x:col min="7" max="7" width="16.25" hidden="0" customWidth="1"/>
  </x:cols>
  <x:sheetData>
    <x:row r="1" ht="25" customHeight="1">
      <x:c r="A1" s="32" t="str">
        <x:v>Product flow | From evidence to improvement</x:v>
      </x:c>
      <x:c r="B1" s="32"/>
      <x:c r="C1" s="32"/>
      <x:c r="D1" s="32"/>
      <x:c r="E1" s="32"/>
      <x:c r="F1" s="32"/>
      <x:c r="G1" s="32"/>
    </x:row>
    <x:row r="2" ht="25" customHeight="1">
      <x:c r="A2" s="32"/>
      <x:c r="B2" s="32"/>
      <x:c r="C2" s="32"/>
      <x:c r="D2" s="32"/>
      <x:c r="E2" s="32"/>
      <x:c r="F2" s="32"/>
      <x:c r="G2" s="32"/>
    </x:row>
    <x:row r="3" ht="25" customHeight="1">
      <x:c r="A3" s="41" t="str">
        <x:v>SUPPLIER-FIRST REVIEW  •  EVIDENCE-LED ANALYSIS  •  HUMAN REVIEW</x:v>
      </x:c>
      <x:c r="B3" s="41"/>
      <x:c r="C3" s="41"/>
      <x:c r="D3" s="41"/>
      <x:c r="E3" s="41"/>
      <x:c r="F3" s="41"/>
      <x:c r="G3" s="41"/>
    </x:row>
    <x:row r="4" ht="31" customHeight="1">
      <x:c r="A4" s="49" t="str">
        <x:v>My end-state interpretation of the supplied process. This is not an approved sequence of user stories or a commitment to automate every step.</x:v>
      </x:c>
      <x:c r="B4" s="49"/>
      <x:c r="C4" s="49"/>
      <x:c r="D4" s="49"/>
      <x:c r="E4" s="49"/>
      <x:c r="F4" s="49"/>
      <x:c r="G4" s="49"/>
    </x:row>
    <x:row r="5" ht="10" customHeight="1">
      <x:c r="A5" s="19"/>
      <x:c r="B5" s="19"/>
      <x:c r="C5" s="19"/>
      <x:c r="D5" s="19"/>
      <x:c r="E5" s="19"/>
      <x:c r="F5" s="19"/>
      <x:c r="G5" s="19"/>
    </x:row>
    <x:row r="6" ht="32" customHeight="1">
      <x:c r="A6" s="194" t="str">
        <x:v>Step</x:v>
      </x:c>
      <x:c r="B6" s="194" t="str">
        <x:v>Activity</x:v>
      </x:c>
      <x:c r="C6" s="194" t="str">
        <x:v>Input / starting point</x:v>
      </x:c>
      <x:c r="D6" s="194" t="str">
        <x:v>What the product supports</x:v>
      </x:c>
      <x:c r="E6" s="194" t="str">
        <x:v>Useful output</x:v>
      </x:c>
      <x:c r="F6" s="194" t="str">
        <x:v>Boundary / maturity</x:v>
      </x:c>
      <x:c r="G6" s="194" t="str">
        <x:v>Sources</x:v>
      </x:c>
    </x:row>
    <x:row r="7" ht="75" customHeight="1">
      <x:c r="A7" s="195" t="str">
        <x:v>01</x:v>
      </x:c>
      <x:c r="B7" s="196" t="str">
        <x:v>Select the review</x:v>
      </x:c>
      <x:c r="C7" s="195" t="str">
        <x:v>A supplier/engagement in the relevant population.</x:v>
      </x:c>
      <x:c r="D7" s="195" t="str">
        <x:v>Begin with the supplier and understand why the relationship is in scope.</x:v>
      </x:c>
      <x:c r="E7" s="195" t="str">
        <x:v>Defined review scope.</x:v>
      </x:c>
      <x:c r="F7" s="195" t="str">
        <x:v>Current process: supplier-first, not automatically incident-triggered.</x:v>
      </x:c>
      <x:c r="G7" s="197" t="str">
        <x:v>M02; M07; M14</x:v>
      </x:c>
    </x:row>
    <x:row r="8" ht="75" customHeight="1">
      <x:c r="A8" s="198" t="str">
        <x:v>02</x:v>
      </x:c>
      <x:c r="B8" s="199" t="str">
        <x:v>Understand the service</x:v>
      </x:c>
      <x:c r="C8" s="198" t="str">
        <x:v>Contract/service descriptions and available relationship information.</x:v>
      </x:c>
      <x:c r="D8" s="198" t="str">
        <x:v>Identify what the supplier provides and where the bank depends on it.</x:v>
      </x:c>
      <x:c r="E8" s="198" t="str">
        <x:v>Supplier–service–engagement view.</x:v>
      </x:c>
      <x:c r="F8" s="198" t="str">
        <x:v>Linkage quality and exact keys require validation.</x:v>
      </x:c>
      <x:c r="G8" s="200" t="str">
        <x:v>M11; M13; M15; M24</x:v>
      </x:c>
    </x:row>
    <x:row r="9" ht="75" customHeight="1">
      <x:c r="A9" s="195" t="str">
        <x:v>03</x:v>
      </x:c>
      <x:c r="B9" s="196" t="str">
        <x:v>Find related evidence</x:v>
      </x:c>
      <x:c r="C9" s="195" t="str">
        <x:v>Incident, issue and other approved source records.</x:v>
      </x:c>
      <x:c r="D9" s="195" t="str">
        <x:v>Locate relevant problems even where names or identifiers are incomplete.</x:v>
      </x:c>
      <x:c r="E9" s="195" t="str">
        <x:v>Linked evidence with source references.</x:v>
      </x:c>
      <x:c r="F9" s="195" t="str">
        <x:v>Missing records are not proof of no disruption.</x:v>
      </x:c>
      <x:c r="G9" s="197" t="str">
        <x:v>M09; M11; M13; M18</x:v>
      </x:c>
    </x:row>
    <x:row r="10" ht="75" customHeight="1">
      <x:c r="A10" s="198" t="str">
        <x:v>04</x:v>
      </x:c>
      <x:c r="B10" s="199" t="str">
        <x:v>Understand the event and cause</x:v>
      </x:c>
      <x:c r="C10" s="198" t="str">
        <x:v>Descriptions, updates, findings and source evidence.</x:v>
      </x:c>
      <x:c r="D10" s="198" t="str">
        <x:v>Separate what failed, who was involved and what the evidence says about cause.</x:v>
      </x:c>
      <x:c r="E10" s="198" t="str">
        <x:v>Evidence-supported account with uncertainty.</x:v>
      </x:c>
      <x:c r="F10" s="198" t="str">
        <x:v>Supplier name alone does not establish responsibility.</x:v>
      </x:c>
      <x:c r="G10" s="200" t="str">
        <x:v>U01; M05</x:v>
      </x:c>
    </x:row>
    <x:row r="11" ht="75" customHeight="1">
      <x:c r="A11" s="195" t="str">
        <x:v>05</x:v>
      </x:c>
      <x:c r="B11" s="196" t="str">
        <x:v>Review themes and capabilities</x:v>
      </x:c>
      <x:c r="C11" s="195" t="str">
        <x:v>Evidence plus the approved theme/capability catalogue.</x:v>
      </x:c>
      <x:c r="D11" s="195" t="str">
        <x:v>Identify the relevant resilience area and capabilities needing review.</x:v>
      </x:c>
      <x:c r="E11" s="195" t="str">
        <x:v>Capability concerns with evidence links.</x:v>
      </x:c>
      <x:c r="F11" s="195" t="str">
        <x:v>Do not infer a supplier capability failure from every incident.</x:v>
      </x:c>
      <x:c r="G11" s="197" t="str">
        <x:v>U01; M21; M22</x:v>
      </x:c>
    </x:row>
    <x:row r="12" ht="75" customHeight="1">
      <x:c r="A12" s="198" t="str">
        <x:v>06</x:v>
      </x:c>
      <x:c r="B12" s="199" t="str">
        <x:v>Prepare supplier questions</x:v>
      </x:c>
      <x:c r="C12" s="198" t="str">
        <x:v>Service context, capabilities and the relevant question set.</x:v>
      </x:c>
      <x:c r="D12" s="198" t="str">
        <x:v>Help prepare the questions and evidence requests appropriate to the review.</x:v>
      </x:c>
      <x:c r="E12" s="198" t="str">
        <x:v>Questionnaire / evidence request.</x:v>
      </x:c>
      <x:c r="F12" s="198" t="str">
        <x:v>Target support; current tech practice sends service-specific full sets.</x:v>
      </x:c>
      <x:c r="G12" s="200" t="str">
        <x:v>M07; M11; M19</x:v>
      </x:c>
    </x:row>
    <x:row r="13" ht="75" customHeight="1">
      <x:c r="A13" s="195" t="str">
        <x:v>07</x:v>
      </x:c>
      <x:c r="B13" s="196" t="str">
        <x:v>Review responses and evidence</x:v>
      </x:c>
      <x:c r="C13" s="195" t="str">
        <x:v>Supplier answers, supporting material and existing evidence.</x:v>
      </x:c>
      <x:c r="D13" s="195" t="str">
        <x:v>Assess consistency, identify remaining gaps and support analyst judgement.</x:v>
      </x:c>
      <x:c r="E13" s="195" t="str">
        <x:v>Findings and areas requiring improvement.</x:v>
      </x:c>
      <x:c r="F13" s="195" t="str">
        <x:v>Human review remains part of the described process.</x:v>
      </x:c>
      <x:c r="G13" s="197" t="str">
        <x:v>U01; M11; M14</x:v>
      </x:c>
    </x:row>
    <x:row r="14" ht="75" customHeight="1">
      <x:c r="A14" s="198" t="str">
        <x:v>08</x:v>
      </x:c>
      <x:c r="B14" s="199" t="str">
        <x:v>Agree and follow up improvements</x:v>
      </x:c>
      <x:c r="C14" s="198" t="str">
        <x:v>Findings and agreed supplier/bank actions.</x:v>
      </x:c>
      <x:c r="D14" s="198" t="str">
        <x:v>Support remediation and, where appropriate, contractual changes.</x:v>
      </x:c>
      <x:c r="E14" s="198" t="str">
        <x:v>Actions and follow-up evidence.</x:v>
      </x:c>
      <x:c r="F14" s="198" t="str">
        <x:v>Recorded completion and demonstrated effectiveness are different.</x:v>
      </x:c>
      <x:c r="G14" s="200" t="str">
        <x:v>U01; M03; M11; M20</x:v>
      </x:c>
    </x:row>
    <x:row r="15" ht="75" customHeight="1">
      <x:c r="A15" s="195" t="str">
        <x:v>09</x:v>
      </x:c>
      <x:c r="B15" s="196" t="str">
        <x:v>Monitor recurrence and alternatives</x:v>
      </x:c>
      <x:c r="C15" s="195" t="str">
        <x:v>New incidents, prior improvements and service dependencies.</x:v>
      </x:c>
      <x:c r="D15" s="195" t="str">
        <x:v>Highlight recurrence; connect unresolved concerns with continuity or exit discussions.</x:v>
      </x:c>
      <x:c r="E15" s="195" t="str">
        <x:v>Updated review and escalation/continuity considerations.</x:v>
      </x:c>
      <x:c r="F15" s="195" t="str">
        <x:v>WS4–WS5 end-state integration is still to be defined.</x:v>
      </x:c>
      <x:c r="G15" s="197" t="str">
        <x:v>M16; M20</x:v>
      </x:c>
    </x:row>
    <x:row r="16" ht="20" customHeight="1">
      <x:c r="A16" s="19"/>
      <x:c r="B16" s="19"/>
      <x:c r="C16" s="19"/>
      <x:c r="D16" s="19"/>
      <x:c r="E16" s="19"/>
      <x:c r="F16" s="19"/>
      <x:c r="G16" s="19"/>
    </x:row>
    <x:row r="17" ht="20" customHeight="1">
      <x:c r="A17" s="19"/>
      <x:c r="B17" s="19"/>
      <x:c r="C17" s="19"/>
      <x:c r="D17" s="19"/>
      <x:c r="E17" s="19"/>
      <x:c r="F17" s="19"/>
      <x:c r="G17" s="19"/>
    </x:row>
    <x:row r="18" ht="25" customHeight="1">
      <x:c r="A18" s="41" t="str">
        <x:v>CURRENT PRACTICE AND TARGET PRODUCT MUST NOT BE CONFUSED</x:v>
      </x:c>
      <x:c r="B18" s="41"/>
      <x:c r="C18" s="41"/>
      <x:c r="D18" s="41"/>
      <x:c r="E18" s="41"/>
      <x:c r="F18" s="41"/>
      <x:c r="G18" s="41"/>
    </x:row>
    <x:row r="19" ht="20" customHeight="1">
      <x:c r="A19" s="76" t="str">
        <x:v>The current review is not simply triggered by each outage. Technology assessments use service-specific full question sets; more tailored business questions are developed from service context and evidence. Historical preparation and on-demand questionnaire generation are separate concerns. [M07; M11; M19]</x:v>
      </x:c>
      <x:c r="B19" s="76"/>
      <x:c r="C19" s="76"/>
      <x:c r="D19" s="76"/>
      <x:c r="E19" s="76"/>
      <x:c r="F19" s="76"/>
      <x:c r="G19" s="76"/>
    </x:row>
    <x:row r="20" ht="20" customHeight="1">
      <x:c r="A20" s="76"/>
      <x:c r="B20" s="76"/>
      <x:c r="C20" s="76"/>
      <x:c r="D20" s="76"/>
      <x:c r="E20" s="76"/>
      <x:c r="F20" s="76"/>
      <x:c r="G20" s="76"/>
    </x:row>
    <x:row r="21" ht="20" customHeight="1">
      <x:c r="A21" s="76"/>
      <x:c r="B21" s="76"/>
      <x:c r="C21" s="76"/>
      <x:c r="D21" s="76"/>
      <x:c r="E21" s="76"/>
      <x:c r="F21" s="76"/>
      <x:c r="G21" s="76"/>
    </x:row>
    <x:row r="22" ht="20" customHeight="1">
      <x:c r="A22" s="19"/>
      <x:c r="B22" s="19"/>
      <x:c r="C22" s="19"/>
      <x:c r="D22" s="19"/>
      <x:c r="E22" s="19"/>
      <x:c r="F22" s="19"/>
      <x:c r="G22" s="19"/>
    </x:row>
    <x:row r="23" ht="20" customHeight="1">
      <x:c r="A23" s="82" t="str">
        <x:v>Product boundary: WS4 supports incident/capability understanding and improvement. The wider end-state connects with WS5 for continuity and exit considerations; exact hand-offs and first-release scope remain to be agreed. [M16; M23]</x:v>
      </x:c>
      <x:c r="B23" s="82"/>
      <x:c r="C23" s="82"/>
      <x:c r="D23" s="82"/>
      <x:c r="E23" s="82"/>
      <x:c r="F23" s="82"/>
      <x:c r="G23" s="82"/>
    </x:row>
    <x:row r="24" ht="20" customHeight="1">
      <x:c r="A24" s="82"/>
      <x:c r="B24" s="82"/>
      <x:c r="C24" s="82"/>
      <x:c r="D24" s="82"/>
      <x:c r="E24" s="82"/>
      <x:c r="F24" s="82"/>
      <x:c r="G24" s="82"/>
    </x:row>
    <x:row r="25" ht="20" customHeight="1">
      <x:c r="A25" s="82"/>
      <x:c r="B25" s="82"/>
      <x:c r="C25" s="82"/>
      <x:c r="D25" s="82"/>
      <x:c r="E25" s="82"/>
      <x:c r="F25" s="82"/>
      <x:c r="G25" s="82"/>
    </x:row>
    <x:row r="26" ht="20" customHeight="1">
      <x:c r="A26" s="19"/>
      <x:c r="B26" s="19"/>
      <x:c r="C26" s="19"/>
      <x:c r="D26" s="19"/>
      <x:c r="E26" s="19"/>
      <x:c r="F26" s="19"/>
      <x:c r="G26" s="19"/>
    </x:row>
    <x:row r="27" ht="20" customHeight="1">
      <x:c r="A27" s="19"/>
      <x:c r="B27" s="19"/>
      <x:c r="C27" s="19"/>
      <x:c r="D27" s="19"/>
      <x:c r="E27" s="19"/>
      <x:c r="F27" s="19"/>
      <x:c r="G27" s="19"/>
    </x:row>
    <x:row r="28" ht="20" customHeight="1">
      <x:c r="A28" s="19"/>
      <x:c r="B28" s="19"/>
      <x:c r="C28" s="19"/>
      <x:c r="D28" s="19"/>
      <x:c r="E28" s="19"/>
      <x:c r="F28" s="19"/>
      <x:c r="G28" s="19"/>
    </x:row>
    <x:row r="29" ht="20" customHeight="1">
      <x:c r="A29" s="19"/>
      <x:c r="B29" s="19"/>
      <x:c r="C29" s="19"/>
      <x:c r="D29" s="19"/>
      <x:c r="E29" s="19"/>
      <x:c r="F29" s="19"/>
      <x:c r="G29" s="19"/>
    </x:row>
    <x:row r="30" ht="20" customHeight="1">
      <x:c r="A30" s="19"/>
      <x:c r="B30" s="19"/>
      <x:c r="C30" s="19"/>
      <x:c r="D30" s="19"/>
      <x:c r="E30" s="19"/>
      <x:c r="F30" s="19"/>
      <x:c r="G30" s="19"/>
    </x:row>
  </x:sheetData>
  <x:mergeCells>
    <x:mergeCell ref="A1:G2"/>
    <x:mergeCell ref="A3:G3"/>
    <x:mergeCell ref="A4:G4"/>
    <x:mergeCell ref="A18:G18"/>
    <x:mergeCell ref="A19:G21"/>
    <x:mergeCell ref="A23:G25"/>
  </x:mergeCells>
  <x:pageMargins left="0.7" right="0.7" top="0.75" bottom="0.75" header="0.3" footer="0.3"/>
  <x:tableParts count="1">
    <x:tablePart xmlns:r="http://schemas.openxmlformats.org/officeDocument/2006/relationships" r:id="R45fa5ca8ba4f42e8"/>
  </x:tableParts>
</x:worksheet>
</file>

<file path=xl/worksheets/sheet4.xml><?xml version="1.0" encoding="utf-8"?>
<x:worksheet xmlns:x="http://schemas.openxmlformats.org/spreadsheetml/2006/main">
  <x:sheetPr>
    <x:tabColor rgb="FF24242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.1299991607666" hidden="0" customWidth="1"/>
    <x:col min="2" max="2" width="28.75" hidden="0" customWidth="1"/>
    <x:col min="3" max="3" width="39.380001068115234" hidden="0" customWidth="1"/>
    <x:col min="4" max="4" width="42.5" hidden="0" customWidth="1"/>
    <x:col min="5" max="5" width="26.8799991607666" hidden="0" customWidth="1"/>
    <x:col min="6" max="6" width="19.3799991607666" hidden="0" customWidth="1"/>
  </x:cols>
  <x:sheetData>
    <x:row r="1" ht="25" customHeight="1">
      <x:c r="A1" s="32" t="str">
        <x:v>Data &amp; scope | What is included, and what is not</x:v>
      </x:c>
      <x:c r="B1" s="32"/>
      <x:c r="C1" s="32"/>
      <x:c r="D1" s="32"/>
      <x:c r="E1" s="32"/>
      <x:c r="F1" s="32"/>
    </x:row>
    <x:row r="2" ht="25" customHeight="1">
      <x:c r="A2" s="32"/>
      <x:c r="B2" s="32"/>
      <x:c r="C2" s="32"/>
      <x:c r="D2" s="32"/>
      <x:c r="E2" s="32"/>
      <x:c r="F2" s="32"/>
    </x:row>
    <x:row r="3" ht="25" customHeight="1">
      <x:c r="A3" s="41" t="str">
        <x:v>SUPPLIER POPULATIONS  •  SOURCE ROLES  •  CURRENT PIPELINE BOUNDARY</x:v>
      </x:c>
      <x:c r="B3" s="41"/>
      <x:c r="C3" s="41"/>
      <x:c r="D3" s="41"/>
      <x:c r="E3" s="41"/>
      <x:c r="F3" s="41"/>
    </x:row>
    <x:row r="4" ht="31" customHeight="1">
      <x:c r="A4" s="49" t="str">
        <x:v>Numbers are source-attributed estimates, not verified current enterprise statistics. Wider programme sources are not automatically current delivery inputs.</x:v>
      </x:c>
      <x:c r="B4" s="49"/>
      <x:c r="C4" s="49"/>
      <x:c r="D4" s="49"/>
      <x:c r="E4" s="49"/>
      <x:c r="F4" s="49"/>
    </x:row>
    <x:row r="5" ht="10" customHeight="1">
      <x:c r="A5" s="19"/>
      <x:c r="B5" s="19"/>
      <x:c r="C5" s="19"/>
      <x:c r="D5" s="19"/>
      <x:c r="E5" s="19"/>
      <x:c r="F5" s="19"/>
    </x:row>
    <x:row r="6" ht="32" customHeight="1">
      <x:c r="A6" s="194" t="str">
        <x:v>Scope concept</x:v>
      </x:c>
      <x:c r="B6" s="194" t="str">
        <x:v>Figure / level shown</x:v>
      </x:c>
      <x:c r="C6" s="194" t="str">
        <x:v>Meaning</x:v>
      </x:c>
      <x:c r="D6" s="194" t="str">
        <x:v>Important qualification</x:v>
      </x:c>
      <x:c r="E6" s="194" t="str">
        <x:v>Evidence status</x:v>
      </x:c>
      <x:c r="F6" s="194" t="str">
        <x:v>Sources</x:v>
      </x:c>
    </x:row>
    <x:row r="7" ht="68" customHeight="1">
      <x:c r="A7" s="196" t="str">
        <x:v>All suppliers</x:v>
      </x:c>
      <x:c r="B7" s="195" t="str">
        <x:v>13,000+ / 13,000</x:v>
      </x:c>
      <x:c r="C7" s="195" t="str">
        <x:v>Technology and business suppliers across the enterprise.</x:v>
      </x:c>
      <x:c r="D7" s="195" t="str">
        <x:v>The two supplied visuals differ in notation; the transcript's total is unclear.</x:v>
      </x:c>
      <x:c r="E7" s="195" t="str">
        <x:v>Illustrative figure — confirm</x:v>
      </x:c>
      <x:c r="F7" s="197" t="str">
        <x:v>IMG01; IMG02; M02</x:v>
      </x:c>
    </x:row>
    <x:row r="8" ht="68" customHeight="1">
      <x:c r="A8" s="199" t="str">
        <x:v>Material suppliers</x:v>
      </x:c>
      <x:c r="B8" s="198" t="str">
        <x:v>Approximately 1,000</x:v>
      </x:c>
      <x:c r="C8" s="198" t="str">
        <x:v>Suppliers meeting the internal materiality process described in the meeting.</x:v>
      </x:c>
      <x:c r="D8" s="198" t="str">
        <x:v>Materiality is not the same classification as importance to an IBS.</x:v>
      </x:c>
      <x:c r="E8" s="198" t="str">
        <x:v>Meeting-described estimate</x:v>
      </x:c>
      <x:c r="F8" s="200" t="str">
        <x:v>M02; IMG01; IMG02</x:v>
      </x:c>
    </x:row>
    <x:row r="9" ht="68" customHeight="1">
      <x:c r="A9" s="196" t="str">
        <x:v>Current priority population</x:v>
      </x:c>
      <x:c r="B9" s="195" t="str">
        <x:v>Approximately 200</x:v>
      </x:c>
      <x:c r="C9" s="195" t="str">
        <x:v>Suppliers important to the relevant Important Business Services.</x:v>
      </x:c>
      <x:c r="D9" s="195" t="str">
        <x:v>Current review focus; not automatically the maximum future product population.</x:v>
      </x:c>
      <x:c r="E9" s="195" t="str">
        <x:v>Meeting-described estimate</x:v>
      </x:c>
      <x:c r="F9" s="197" t="str">
        <x:v>M02; M18</x:v>
      </x:c>
    </x:row>
    <x:row r="10" ht="68" customHeight="1">
      <x:c r="A10" s="199" t="str">
        <x:v>Service examples</x:v>
      </x:c>
      <x:c r="B10" s="198" t="str">
        <x:v>Mortgage completion / cash access</x:v>
      </x:c>
      <x:c r="C10" s="198" t="str">
        <x:v>Examples used to explain customer-service consequences.</x:v>
      </x:c>
      <x:c r="D10" s="198" t="str">
        <x:v>The credit-trading exclusion in the mind map is a meeting example, not a universal policy statement.</x:v>
      </x:c>
      <x:c r="E10" s="198" t="str">
        <x:v>Meeting examples</x:v>
      </x:c>
      <x:c r="F10" s="200" t="str">
        <x:v>M01; M12; IMG02</x:v>
      </x:c>
    </x:row>
    <x:row r="11" ht="68" customHeight="1">
      <x:c r="A11" s="196" t="str">
        <x:v>Assessment level</x:v>
      </x:c>
      <x:c r="B11" s="195" t="str">
        <x:v>Engagement</x:v>
      </x:c>
      <x:c r="C11" s="195" t="str">
        <x:v>Current review level described at the end of the meeting.</x:v>
      </x:c>
      <x:c r="D11" s="195" t="str">
        <x:v>Do not collapse engagements, supplier legal entities and parent groups.</x:v>
      </x:c>
      <x:c r="E11" s="195" t="str">
        <x:v>Meeting-described; keys to confirm</x:v>
      </x:c>
      <x:c r="F11" s="197" t="str">
        <x:v>M24</x:v>
      </x:c>
    </x:row>
    <x:row r="12" ht="20" customHeight="1">
      <x:c r="A12" s="19"/>
      <x:c r="B12" s="19"/>
      <x:c r="C12" s="19"/>
      <x:c r="D12" s="19"/>
      <x:c r="E12" s="19"/>
      <x:c r="F12" s="19"/>
    </x:row>
    <x:row r="13" ht="20" customHeight="1">
      <x:c r="A13" s="19"/>
      <x:c r="B13" s="19"/>
      <x:c r="C13" s="19"/>
      <x:c r="D13" s="19"/>
      <x:c r="E13" s="19"/>
      <x:c r="F13" s="19"/>
    </x:row>
    <x:row r="14" ht="25" customHeight="1">
      <x:c r="A14" s="41" t="str">
        <x:v>SYSTEMS AND REPOSITORIES | Current inputs versus wider context</x:v>
      </x:c>
      <x:c r="B14" s="41"/>
      <x:c r="C14" s="41"/>
      <x:c r="D14" s="41"/>
      <x:c r="E14" s="41"/>
      <x:c r="F14" s="41"/>
    </x:row>
    <x:row r="15" ht="32" customHeight="1">
      <x:c r="A15" s="194" t="str">
        <x:v>System / source</x:v>
      </x:c>
      <x:c r="B15" s="194" t="str">
        <x:v>Role in supplied material</x:v>
      </x:c>
      <x:c r="C15" s="194" t="str">
        <x:v>Use in the product understanding</x:v>
      </x:c>
      <x:c r="D15" s="194" t="str">
        <x:v>Scope status</x:v>
      </x:c>
      <x:c r="E15" s="194" t="str">
        <x:v>Validation needed</x:v>
      </x:c>
      <x:c r="F15" s="194" t="str">
        <x:v>Sources</x:v>
      </x:c>
    </x:row>
    <x:row r="16" ht="73" customHeight="1">
      <x:c r="A16" s="196" t="str">
        <x:v>CxO</x:v>
      </x:c>
      <x:c r="B16" s="195" t="str">
        <x:v>Delivery route for the four current tabular inputs described by the user.</x:v>
      </x:c>
      <x:c r="C16" s="195" t="str">
        <x:v>SN main; SN additional fields; Helios Issue; Helios Action.</x:v>
      </x:c>
      <x:c r="D16" s="195" t="str">
        <x:v>Current user-described pipeline</x:v>
      </x:c>
      <x:c r="E16" s="195" t="str">
        <x:v>Confirm feed contracts, keys and refresh schedule.</x:v>
      </x:c>
      <x:c r="F16" s="197" t="str">
        <x:v>U03</x:v>
      </x:c>
    </x:row>
    <x:row r="17" ht="73" customHeight="1">
      <x:c r="A17" s="199" t="str">
        <x:v>ServiceNow</x:v>
      </x:c>
      <x:c r="B17" s="198" t="str">
        <x:v>Repository of IT incidents, issues and problems in the meeting.</x:v>
      </x:c>
      <x:c r="C17" s="198" t="str">
        <x:v>Main SN records are augmented with additional SN columns from CxO.</x:v>
      </x:c>
      <x:c r="D17" s="198" t="str">
        <x:v>Current user-described pipeline</x:v>
      </x:c>
      <x:c r="E17" s="198" t="str">
        <x:v>The two SN feeds describe the same intended record population; join rules need confirmation.</x:v>
      </x:c>
      <x:c r="F17" s="200" t="str">
        <x:v>M04; M12; U03</x:v>
      </x:c>
    </x:row>
    <x:row r="18" ht="73" customHeight="1">
      <x:c r="A18" s="196" t="str">
        <x:v>Helios</x:v>
      </x:c>
      <x:c r="B18" s="195" t="str">
        <x:v>Repository of business incidents and issues in the meeting.</x:v>
      </x:c>
      <x:c r="C18" s="195" t="str">
        <x:v>The latest user-described input tables are Helios Issue and Helios Action.</x:v>
      </x:c>
      <x:c r="D18" s="195" t="str">
        <x:v>Current user-described pipeline</x:v>
      </x:c>
      <x:c r="E18" s="195" t="str">
        <x:v>Earlier material also mentions Events; confirm exact feed names and record semantics.</x:v>
      </x:c>
      <x:c r="F18" s="197" t="str">
        <x:v>M09; M12; U03</x:v>
      </x:c>
    </x:row>
    <x:row r="19" ht="73" customHeight="1">
      <x:c r="A19" s="199" t="str">
        <x:v>ARIS</x:v>
      </x:c>
      <x:c r="B19" s="198" t="str">
        <x:v>Business-process/value-chain mapping and service touchpoints.</x:v>
      </x:c>
      <x:c r="C19" s="198" t="str">
        <x:v>Helps establish where a supplier supports a business service.</x:v>
      </x:c>
      <x:c r="D19" s="198" t="str">
        <x:v>Wider programme context</x:v>
      </x:c>
      <x:c r="E19" s="198" t="str">
        <x:v>Engagement linkage may be incomplete; not added to the current four feeds by this workbook.</x:v>
      </x:c>
      <x:c r="F19" s="200" t="str">
        <x:v>IMG04; M11; M13; M15</x:v>
      </x:c>
    </x:row>
    <x:row r="20" ht="73" customHeight="1">
      <x:c r="A20" s="196" t="str">
        <x:v>OneTPM / 1TPM</x:v>
      </x:c>
      <x:c r="B20" s="195" t="str">
        <x:v>Supplier/engagement information, service summaries and some relevant issues.</x:v>
      </x:c>
      <x:c r="C20" s="195" t="str">
        <x:v>Potential reference and assessment evidence in the wider workflow.</x:v>
      </x:c>
      <x:c r="D20" s="195" t="str">
        <x:v>Wider programme context</x:v>
      </x:c>
      <x:c r="E20" s="195" t="str">
        <x:v>Confirm exact source fields and whether any reference extract is in delivery scope.</x:v>
      </x:c>
      <x:c r="F20" s="197" t="str">
        <x:v>IMG04; M11; M15; M23</x:v>
      </x:c>
    </x:row>
    <x:row r="21" ht="73" customHeight="1">
      <x:c r="A21" s="199" t="str">
        <x:v>Contract repository</x:v>
      </x:c>
      <x:c r="B21" s="198" t="str">
        <x:v>Contractual descriptions of the services provided.</x:v>
      </x:c>
      <x:c r="C21" s="198" t="str">
        <x:v>Supports service understanding and contractual uplift discussions.</x:v>
      </x:c>
      <x:c r="D21" s="198" t="str">
        <x:v>Wider programme context</x:v>
      </x:c>
      <x:c r="E21" s="198" t="str">
        <x:v>Screenshots say Coupa; transcript says Cooper. Exact system name is unverified.</x:v>
      </x:c>
      <x:c r="F21" s="200" t="str">
        <x:v>IMG04; M15</x:v>
      </x:c>
    </x:row>
    <x:row r="22" ht="73" customHeight="1">
      <x:c r="A22" s="196" t="str">
        <x:v>ODS</x:v>
      </x:c>
      <x:c r="B22" s="195" t="str">
        <x:v>Application information described in the meeting.</x:v>
      </x:c>
      <x:c r="C22" s="195" t="str">
        <x:v>Additional context about an IT application and what it does.</x:v>
      </x:c>
      <x:c r="D22" s="195" t="str">
        <x:v>Wider programme context</x:v>
      </x:c>
      <x:c r="E22" s="195" t="str">
        <x:v>Do not assume a current connection or complete mapping.</x:v>
      </x:c>
      <x:c r="F22" s="197" t="str">
        <x:v>M15</x:v>
      </x:c>
    </x:row>
    <x:row r="23" ht="73" customHeight="1">
      <x:c r="A23" s="199" t="str">
        <x:v>BCP / continuity evidence</x:v>
      </x:c>
      <x:c r="B23" s="198" t="str">
        <x:v>Potential-failure scenarios and continuity arrangements.</x:v>
      </x:c>
      <x:c r="C23" s="198" t="str">
        <x:v>Context for service resilience and alternatives.</x:v>
      </x:c>
      <x:c r="D23" s="198" t="str">
        <x:v>Future/adjacent context</x:v>
      </x:c>
      <x:c r="E23" s="198" t="str">
        <x:v>Attachments and document extraction are out of the user's current scope.</x:v>
      </x:c>
      <x:c r="F23" s="200" t="str">
        <x:v>M10; M17; M23; U03</x:v>
      </x:c>
    </x:row>
    <x:row r="24" ht="73" customHeight="1">
      <x:c r="A24" s="196" t="str">
        <x:v>CDMS / party hierarchy</x:v>
      </x:c>
      <x:c r="B24" s="195" t="str">
        <x:v>A possible party identifier and hierarchy source mentioned at the end.</x:v>
      </x:c>
      <x:c r="C24" s="195" t="str">
        <x:v>Potential future linkage from engagement/entity to parent group.</x:v>
      </x:c>
      <x:c r="D24" s="195" t="str">
        <x:v>Unresolved source detail</x:v>
      </x:c>
      <x:c r="E24" s="195" t="str">
        <x:v>The exact identifier and authoritative hierarchy source need confirmation.</x:v>
      </x:c>
      <x:c r="F24" s="197" t="str">
        <x:v>M24</x:v>
      </x:c>
    </x:row>
    <x:row r="25" ht="20" customHeight="1">
      <x:c r="A25" s="19"/>
      <x:c r="B25" s="19"/>
      <x:c r="C25" s="19"/>
      <x:c r="D25" s="19"/>
      <x:c r="E25" s="19"/>
      <x:c r="F25" s="19"/>
    </x:row>
    <x:row r="26" ht="20" customHeight="1">
      <x:c r="A26" s="19"/>
      <x:c r="B26" s="19"/>
      <x:c r="C26" s="19"/>
      <x:c r="D26" s="19"/>
      <x:c r="E26" s="19"/>
      <x:c r="F26" s="19"/>
    </x:row>
    <x:row r="27" ht="25" customHeight="1">
      <x:c r="A27" s="41" t="str">
        <x:v>CURRENT USER-DESCRIBED PIPELINE | Four feeds become three core datasets</x:v>
      </x:c>
      <x:c r="B27" s="41"/>
      <x:c r="C27" s="41"/>
      <x:c r="D27" s="41"/>
      <x:c r="E27" s="41"/>
      <x:c r="F27" s="41"/>
    </x:row>
    <x:row r="28" ht="32" customHeight="1">
      <x:c r="A28" s="194" t="str">
        <x:v>Step</x:v>
      </x:c>
      <x:c r="B28" s="194" t="str">
        <x:v>Stage</x:v>
      </x:c>
      <x:c r="C28" s="194" t="str">
        <x:v>What happens</x:v>
      </x:c>
      <x:c r="D28" s="194" t="str">
        <x:v>Output</x:v>
      </x:c>
      <x:c r="E28" s="194" t="str">
        <x:v>Boundary</x:v>
      </x:c>
      <x:c r="F28" s="194" t="str">
        <x:v>Basis</x:v>
      </x:c>
    </x:row>
    <x:row r="29" ht="66" customHeight="1">
      <x:c r="A29" s="195" t="str">
        <x:v>01</x:v>
      </x:c>
      <x:c r="B29" s="196" t="str">
        <x:v>Ingest</x:v>
      </x:c>
      <x:c r="C29" s="195" t="str">
        <x:v>Bring all four CxO tabular inputs into Azure.</x:v>
      </x:c>
      <x:c r="D29" s="195" t="str">
        <x:v>Four received datasets with source/load metadata.</x:v>
      </x:c>
      <x:c r="E29" s="195" t="str">
        <x:v>User-described scope; no attachments.</x:v>
      </x:c>
      <x:c r="F29" s="197" t="str">
        <x:v>U03</x:v>
      </x:c>
    </x:row>
    <x:row r="30" ht="66" customHeight="1">
      <x:c r="A30" s="198" t="str">
        <x:v>02</x:v>
      </x:c>
      <x:c r="B30" s="199" t="str">
        <x:v>Stage</x:v>
      </x:c>
      <x:c r="C30" s="198" t="str">
        <x:v>Store source rows in Azure SQL staging.</x:v>
      </x:c>
      <x:c r="D30" s="198" t="str">
        <x:v>Source-faithful staged records.</x:v>
      </x:c>
      <x:c r="E30" s="198" t="str">
        <x:v>Preserve what was received for comparison and reprocessing.</x:v>
      </x:c>
      <x:c r="F30" s="200" t="str">
        <x:v>U03</x:v>
      </x:c>
    </x:row>
    <x:row r="31" ht="66" customHeight="1">
      <x:c r="A31" s="195" t="str">
        <x:v>03</x:v>
      </x:c>
      <x:c r="B31" s="196" t="str">
        <x:v>Deduplicate</x:v>
      </x:c>
      <x:c r="C31" s="195" t="str">
        <x:v>Apply source-specific rules to repeated records.</x:v>
      </x:c>
      <x:c r="D31" s="195" t="str">
        <x:v>Deduplicated processing inputs.</x:v>
      </x:c>
      <x:c r="E31" s="195" t="str">
        <x:v>Duplicate copies and genuine updates must not be treated as the same thing.</x:v>
      </x:c>
      <x:c r="F31" s="197" t="str">
        <x:v>U03</x:v>
      </x:c>
    </x:row>
    <x:row r="32" ht="66" customHeight="1">
      <x:c r="A32" s="198" t="str">
        <x:v>04</x:v>
      </x:c>
      <x:c r="B32" s="199" t="str">
        <x:v>Augment SN</x:v>
      </x:c>
      <x:c r="C32" s="198" t="str">
        <x:v>Map additional SN fields to the corresponding main SN records.</x:v>
      </x:c>
      <x:c r="D32" s="198" t="str">
        <x:v>Three core datasets: SN, Helios Issue, Helios Action.</x:v>
      </x:c>
      <x:c r="E32" s="198" t="str">
        <x:v>Confirm join key, cardinality and missing/ambiguous-match behaviour.</x:v>
      </x:c>
      <x:c r="F32" s="200" t="str">
        <x:v>U03</x:v>
      </x:c>
    </x:row>
    <x:row r="33" ht="66" customHeight="1">
      <x:c r="A33" s="195" t="str">
        <x:v>05</x:v>
      </x:c>
      <x:c r="B33" s="196" t="str">
        <x:v>Normalise and clean</x:v>
      </x:c>
      <x:c r="C33" s="195" t="str">
        <x:v>Apply the appropriate schema and field-level cleaning for each table.</x:v>
      </x:c>
      <x:c r="D33" s="195" t="str">
        <x:v>Consistent, cleaned rows in the three separate datasets.</x:v>
      </x:c>
      <x:c r="E33" s="195" t="str">
        <x:v>Do not merge creation time with event time or remove important technical evidence.</x:v>
      </x:c>
      <x:c r="F33" s="197" t="str">
        <x:v>U03</x:v>
      </x:c>
    </x:row>
    <x:row r="34" ht="66" customHeight="1">
      <x:c r="A34" s="198" t="str">
        <x:v>06</x:v>
      </x:c>
      <x:c r="B34" s="199" t="str">
        <x:v>Enrich</x:v>
      </x:c>
      <x:c r="C34" s="198" t="str">
        <x:v>Apply relevant reference mappings and jargon clarification.</x:v>
      </x:c>
      <x:c r="D34" s="198" t="str">
        <x:v>Prepared records with traceable mappings.</x:v>
      </x:c>
      <x:c r="E34" s="198" t="str">
        <x:v>Entity association is not fault attribution.</x:v>
      </x:c>
      <x:c r="F34" s="200" t="str">
        <x:v>U03</x:v>
      </x:c>
    </x:row>
    <x:row r="35" ht="66" customHeight="1">
      <x:c r="A35" s="195" t="str">
        <x:v>07</x:v>
      </x:c>
      <x:c r="B35" s="196" t="str">
        <x:v>Summarise — optional</x:v>
      </x:c>
      <x:c r="C35" s="195" t="str">
        <x:v>Compress long text only where required by the chosen design.</x:v>
      </x:c>
      <x:c r="D35" s="195" t="str">
        <x:v>Optional summary alongside the retained evidence.</x:v>
      </x:c>
      <x:c r="E35" s="195" t="str">
        <x:v>Preserve negation, uncertainty, chronology and source references.</x:v>
      </x:c>
      <x:c r="F35" s="197" t="str">
        <x:v>U03</x:v>
      </x:c>
    </x:row>
    <x:row r="36" ht="71.19999694824219" customHeight="1">
      <x:c r="A36" s="198" t="str">
        <x:v>08</x:v>
      </x:c>
      <x:c r="B36" s="199" t="str">
        <x:v>Validate and publish</x:v>
      </x:c>
      <x:c r="C36" s="198" t="str">
        <x:v>Publish prepared SQL outputs for downstream consumption.</x:v>
      </x:c>
      <x:c r="D36" s="198" t="str">
        <x:v>Three prepared tables / agreed consumption interface.</x:v>
      </x:c>
      <x:c r="E36" s="198" t="str">
        <x:v>Physical schema, quality gates and first-release commitments remain to be agreed.</x:v>
      </x:c>
      <x:c r="F36" s="200" t="str">
        <x:v>U03</x:v>
      </x:c>
    </x:row>
    <x:row r="37" ht="20" customHeight="1">
      <x:c r="A37" s="19"/>
      <x:c r="B37" s="19"/>
      <x:c r="C37" s="19"/>
      <x:c r="D37" s="19"/>
      <x:c r="E37" s="19"/>
      <x:c r="F37" s="19"/>
    </x:row>
    <x:row r="38" ht="20" customHeight="1">
      <x:c r="A38" s="19"/>
      <x:c r="B38" s="19"/>
      <x:c r="C38" s="19"/>
      <x:c r="D38" s="19"/>
      <x:c r="E38" s="19"/>
      <x:c r="F38" s="19"/>
    </x:row>
    <x:row r="39" ht="20" customHeight="1">
      <x:c r="A39" s="82" t="str">
        <x:v>The pipeline is the enabling data foundation, not the entire WS4 product. Current scope is tabular/text data in Azure SQL: ServiceNow main + additional SN fields + Helios Issue + Helios Action. No attachment extraction is assumed. Summarisation remains optional.</x:v>
      </x:c>
      <x:c r="B39" s="82"/>
      <x:c r="C39" s="82"/>
      <x:c r="D39" s="82"/>
      <x:c r="E39" s="82"/>
      <x:c r="F39" s="82"/>
    </x:row>
    <x:row r="40" ht="20" customHeight="1">
      <x:c r="A40" s="82"/>
      <x:c r="B40" s="82"/>
      <x:c r="C40" s="82"/>
      <x:c r="D40" s="82"/>
      <x:c r="E40" s="82"/>
      <x:c r="F40" s="82"/>
    </x:row>
    <x:row r="41" ht="20" customHeight="1">
      <x:c r="A41" s="82"/>
      <x:c r="B41" s="82"/>
      <x:c r="C41" s="82"/>
      <x:c r="D41" s="82"/>
      <x:c r="E41" s="82"/>
      <x:c r="F41" s="82"/>
    </x:row>
    <x:row r="42" ht="20" customHeight="1">
      <x:c r="A42" s="19"/>
      <x:c r="B42" s="19"/>
      <x:c r="C42" s="19"/>
      <x:c r="D42" s="19"/>
      <x:c r="E42" s="19"/>
      <x:c r="F42" s="19"/>
    </x:row>
    <x:row r="43" ht="20" customHeight="1">
      <x:c r="A43" s="19"/>
      <x:c r="B43" s="19"/>
      <x:c r="C43" s="19"/>
      <x:c r="D43" s="19"/>
      <x:c r="E43" s="19"/>
      <x:c r="F43" s="19"/>
    </x:row>
    <x:row r="44" ht="20" customHeight="1">
      <x:c r="A44" s="19"/>
      <x:c r="B44" s="19"/>
      <x:c r="C44" s="19"/>
      <x:c r="D44" s="19"/>
      <x:c r="E44" s="19"/>
      <x:c r="F44" s="19"/>
    </x:row>
    <x:row r="45" ht="20" customHeight="1">
      <x:c r="A45" s="19"/>
      <x:c r="B45" s="19"/>
      <x:c r="C45" s="19"/>
      <x:c r="D45" s="19"/>
      <x:c r="E45" s="19"/>
      <x:c r="F45" s="19"/>
    </x:row>
    <x:row r="46" ht="20" customHeight="1">
      <x:c r="A46" s="19"/>
      <x:c r="B46" s="19"/>
      <x:c r="C46" s="19"/>
      <x:c r="D46" s="19"/>
      <x:c r="E46" s="19"/>
      <x:c r="F46" s="19"/>
    </x:row>
    <x:row r="47" ht="20" customHeight="1">
      <x:c r="A47" s="19"/>
      <x:c r="B47" s="19"/>
      <x:c r="C47" s="19"/>
      <x:c r="D47" s="19"/>
      <x:c r="E47" s="19"/>
      <x:c r="F47" s="19"/>
    </x:row>
    <x:row r="48" ht="20" customHeight="1">
      <x:c r="A48" s="19"/>
      <x:c r="B48" s="19"/>
      <x:c r="C48" s="19"/>
      <x:c r="D48" s="19"/>
      <x:c r="E48" s="19"/>
      <x:c r="F48" s="19"/>
    </x:row>
    <x:row r="49" ht="20" customHeight="1">
      <x:c r="A49" s="19"/>
      <x:c r="B49" s="19"/>
      <x:c r="C49" s="19"/>
      <x:c r="D49" s="19"/>
      <x:c r="E49" s="19"/>
      <x:c r="F49" s="19"/>
    </x:row>
    <x:row r="50" ht="20" customHeight="1">
      <x:c r="A50" s="19"/>
      <x:c r="B50" s="19"/>
      <x:c r="C50" s="19"/>
      <x:c r="D50" s="19"/>
      <x:c r="E50" s="19"/>
      <x:c r="F50" s="19"/>
    </x:row>
    <x:row r="51" ht="20" customHeight="1">
      <x:c r="A51" s="19"/>
      <x:c r="B51" s="19"/>
      <x:c r="C51" s="19"/>
      <x:c r="D51" s="19"/>
      <x:c r="E51" s="19"/>
      <x:c r="F51" s="19"/>
    </x:row>
    <x:row r="52" ht="20" customHeight="1">
      <x:c r="A52" s="19"/>
      <x:c r="B52" s="19"/>
      <x:c r="C52" s="19"/>
      <x:c r="D52" s="19"/>
      <x:c r="E52" s="19"/>
      <x:c r="F52" s="19"/>
    </x:row>
    <x:row r="53" ht="20" customHeight="1">
      <x:c r="A53" s="19"/>
      <x:c r="B53" s="19"/>
      <x:c r="C53" s="19"/>
      <x:c r="D53" s="19"/>
      <x:c r="E53" s="19"/>
      <x:c r="F53" s="19"/>
    </x:row>
    <x:row r="54" ht="20" customHeight="1">
      <x:c r="A54" s="19"/>
      <x:c r="B54" s="19"/>
      <x:c r="C54" s="19"/>
      <x:c r="D54" s="19"/>
      <x:c r="E54" s="19"/>
      <x:c r="F54" s="19"/>
    </x:row>
    <x:row r="55" ht="20" customHeight="1">
      <x:c r="A55" s="19"/>
      <x:c r="B55" s="19"/>
      <x:c r="C55" s="19"/>
      <x:c r="D55" s="19"/>
      <x:c r="E55" s="19"/>
      <x:c r="F55" s="19"/>
    </x:row>
    <x:row r="56" ht="20" customHeight="1">
      <x:c r="A56" s="19"/>
      <x:c r="B56" s="19"/>
      <x:c r="C56" s="19"/>
      <x:c r="D56" s="19"/>
      <x:c r="E56" s="19"/>
      <x:c r="F56" s="19"/>
    </x:row>
    <x:row r="57" ht="20" customHeight="1">
      <x:c r="A57" s="19"/>
      <x:c r="B57" s="19"/>
      <x:c r="C57" s="19"/>
      <x:c r="D57" s="19"/>
      <x:c r="E57" s="19"/>
      <x:c r="F57" s="19"/>
    </x:row>
    <x:row r="58" ht="20" customHeight="1">
      <x:c r="A58" s="19"/>
      <x:c r="B58" s="19"/>
      <x:c r="C58" s="19"/>
      <x:c r="D58" s="19"/>
      <x:c r="E58" s="19"/>
      <x:c r="F58" s="19"/>
    </x:row>
    <x:row r="59" ht="20" customHeight="1">
      <x:c r="A59" s="19"/>
      <x:c r="B59" s="19"/>
      <x:c r="C59" s="19"/>
      <x:c r="D59" s="19"/>
      <x:c r="E59" s="19"/>
      <x:c r="F59" s="19"/>
    </x:row>
    <x:row r="60" ht="20" customHeight="1">
      <x:c r="A60" s="19"/>
      <x:c r="B60" s="19"/>
      <x:c r="C60" s="19"/>
      <x:c r="D60" s="19"/>
      <x:c r="E60" s="19"/>
      <x:c r="F60" s="19"/>
    </x:row>
    <x:row r="61" ht="20" customHeight="1">
      <x:c r="A61" s="19"/>
      <x:c r="B61" s="19"/>
      <x:c r="C61" s="19"/>
      <x:c r="D61" s="19"/>
      <x:c r="E61" s="19"/>
      <x:c r="F61" s="19"/>
    </x:row>
    <x:row r="62" ht="20" customHeight="1">
      <x:c r="A62" s="19"/>
      <x:c r="B62" s="19"/>
      <x:c r="C62" s="19"/>
      <x:c r="D62" s="19"/>
      <x:c r="E62" s="19"/>
      <x:c r="F62" s="19"/>
    </x:row>
    <x:row r="63" ht="20" customHeight="1">
      <x:c r="A63" s="19"/>
      <x:c r="B63" s="19"/>
      <x:c r="C63" s="19"/>
      <x:c r="D63" s="19"/>
      <x:c r="E63" s="19"/>
      <x:c r="F63" s="19"/>
    </x:row>
    <x:row r="64" ht="20" customHeight="1">
      <x:c r="A64" s="19"/>
      <x:c r="B64" s="19"/>
      <x:c r="C64" s="19"/>
      <x:c r="D64" s="19"/>
      <x:c r="E64" s="19"/>
      <x:c r="F64" s="19"/>
    </x:row>
    <x:row r="65" ht="20" customHeight="1">
      <x:c r="A65" s="19"/>
      <x:c r="B65" s="19"/>
      <x:c r="C65" s="19"/>
      <x:c r="D65" s="19"/>
      <x:c r="E65" s="19"/>
      <x:c r="F65" s="19"/>
    </x:row>
  </x:sheetData>
  <x:mergeCells>
    <x:mergeCell ref="A1:F2"/>
    <x:mergeCell ref="A3:F3"/>
    <x:mergeCell ref="A4:F4"/>
    <x:mergeCell ref="A14:F14"/>
    <x:mergeCell ref="A27:F27"/>
    <x:mergeCell ref="A39:F41"/>
  </x:mergeCells>
  <x:pageMargins left="0.7" right="0.7" top="0.75" bottom="0.75" header="0.3" footer="0.3"/>
  <x:tableParts count="3">
    <x:tablePart xmlns:r="http://schemas.openxmlformats.org/officeDocument/2006/relationships" r:id="R8a30e101f1da4fb9"/>
    <x:tablePart xmlns:r="http://schemas.openxmlformats.org/officeDocument/2006/relationships" r:id="Re530176a8a954f7a"/>
    <x:tablePart xmlns:r="http://schemas.openxmlformats.org/officeDocument/2006/relationships" r:id="Ra2c80aaa37694415"/>
  </x:tableParts>
</x:worksheet>
</file>

<file path=xl/worksheets/sheet5.xml><?xml version="1.0" encoding="utf-8"?>
<x:worksheet xmlns:x="http://schemas.openxmlformats.org/spreadsheetml/2006/main">
  <x:sheetPr>
    <x:tabColor rgb="FF24242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1.25" hidden="0" customWidth="1"/>
    <x:col min="2" max="2" width="29.3799991607666" hidden="0" customWidth="1"/>
    <x:col min="3" max="3" width="32.5" hidden="0" customWidth="1"/>
    <x:col min="4" max="4" width="33.130001068115234" hidden="0" customWidth="1"/>
    <x:col min="5" max="5" width="39.380001068115234" hidden="0" customWidth="1"/>
    <x:col min="6" max="6" width="16.8799991607666" hidden="0" customWidth="1"/>
    <x:col min="7" max="7" width="17.5" hidden="0" customWidth="1"/>
  </x:cols>
  <x:sheetData>
    <x:row r="1" ht="25" customHeight="1">
      <x:c r="A1" s="32" t="str">
        <x:v>Assessment logic | Keep the concepts separate</x:v>
      </x:c>
      <x:c r="B1" s="32"/>
      <x:c r="C1" s="32"/>
      <x:c r="D1" s="32"/>
      <x:c r="E1" s="32"/>
      <x:c r="F1" s="32"/>
      <x:c r="G1" s="32"/>
    </x:row>
    <x:row r="2" ht="25" customHeight="1">
      <x:c r="A2" s="32"/>
      <x:c r="B2" s="32"/>
      <x:c r="C2" s="32"/>
      <x:c r="D2" s="32"/>
      <x:c r="E2" s="32"/>
      <x:c r="F2" s="32"/>
      <x:c r="G2" s="32"/>
    </x:row>
    <x:row r="3" ht="25" customHeight="1">
      <x:c r="A3" s="41" t="str">
        <x:v>CAUSE  ≠  COMPANY IDENTITY  ≠  CAPABILITY GAP  ≠  PATTERN</x:v>
      </x:c>
      <x:c r="B3" s="41"/>
      <x:c r="C3" s="41"/>
      <x:c r="D3" s="41"/>
      <x:c r="E3" s="41"/>
      <x:c r="F3" s="41"/>
      <x:c r="G3" s="41"/>
    </x:row>
    <x:row r="4" ht="31" customHeight="1">
      <x:c r="A4" s="49" t="str">
        <x:v>Analytical relationships below explain the supplied notes. They are not a mandatory record lifecycle, database hierarchy or fixed number of LLM calls.</x:v>
      </x:c>
      <x:c r="B4" s="49"/>
      <x:c r="C4" s="49"/>
      <x:c r="D4" s="49"/>
      <x:c r="E4" s="49"/>
      <x:c r="F4" s="49"/>
      <x:c r="G4" s="49"/>
    </x:row>
    <x:row r="5" ht="10" customHeight="1">
      <x:c r="A5" s="19"/>
      <x:c r="B5" s="19"/>
      <x:c r="C5" s="19"/>
      <x:c r="D5" s="19"/>
      <x:c r="E5" s="19"/>
      <x:c r="F5" s="19"/>
      <x:c r="G5" s="19"/>
    </x:row>
    <x:row r="6" ht="32" customHeight="1">
      <x:c r="A6" s="194" t="str">
        <x:v>Concept</x:v>
      </x:c>
      <x:c r="B6" s="194" t="str">
        <x:v>Question answered</x:v>
      </x:c>
      <x:c r="C6" s="194" t="str">
        <x:v>Example</x:v>
      </x:c>
      <x:c r="D6" s="194" t="str">
        <x:v>Relationship</x:v>
      </x:c>
      <x:c r="E6" s="194" t="str">
        <x:v>Key guardrail</x:v>
      </x:c>
      <x:c r="F6" s="194" t="str">
        <x:v>Basis</x:v>
      </x:c>
      <x:c r="G6" s="194" t="str">
        <x:v>Sources</x:v>
      </x:c>
    </x:row>
    <x:row r="7" ht="75" customHeight="1">
      <x:c r="A7" s="196" t="str">
        <x:v>Theme</x:v>
      </x:c>
      <x:c r="B7" s="195" t="str">
        <x:v>Which broad resilience area is relevant?</x:v>
      </x:c>
      <x:c r="C7" s="195" t="str">
        <x:v>Change Management.</x:v>
      </x:c>
      <x:c r="D7" s="195" t="str">
        <x:v>Groups related capabilities.</x:v>
      </x:c>
      <x:c r="E7" s="195" t="str">
        <x:v>Use the approved catalogue; the meeting does not provide all 10 theme names.</x:v>
      </x:c>
      <x:c r="F7" s="195" t="str">
        <x:v>Meeting-described</x:v>
      </x:c>
      <x:c r="G7" s="197" t="str">
        <x:v>M21; M22</x:v>
      </x:c>
    </x:row>
    <x:row r="8" ht="75" customHeight="1">
      <x:c r="A8" s="199" t="str">
        <x:v>Capability</x:v>
      </x:c>
      <x:c r="B8" s="198" t="str">
        <x:v>What specific ability or arrangement is being reviewed?</x:v>
      </x:c>
      <x:c r="C8" s="198" t="str">
        <x:v>Testing, governance or communication for change.</x:v>
      </x:c>
      <x:c r="D8" s="198" t="str">
        <x:v>Sits within a theme in the technology catalogue.</x:v>
      </x:c>
      <x:c r="E8" s="198" t="str">
        <x:v>Review a capability against evidence; an outage does not automatically prove its absence.</x:v>
      </x:c>
      <x:c r="F8" s="198" t="str">
        <x:v>Meeting + working distinction</x:v>
      </x:c>
      <x:c r="G8" s="200" t="str">
        <x:v>U01; M21; M22</x:v>
      </x:c>
    </x:row>
    <x:row r="9" ht="75" customHeight="1">
      <x:c r="A9" s="196" t="str">
        <x:v>Root cause</x:v>
      </x:c>
      <x:c r="B9" s="195" t="str">
        <x:v>Why did this particular event happen?</x:v>
      </x:c>
      <x:c r="C9" s="195" t="str">
        <x:v>The meeting's IBM example attributes failure to an internal HSBC change.</x:v>
      </x:c>
      <x:c r="D9" s="195" t="str">
        <x:v>May inform capability review when the evidence supports the link.</x:v>
      </x:c>
      <x:c r="E9" s="195" t="str">
        <x:v>Do not convert product ownership or a proposed hypothesis into a proven supplier cause.</x:v>
      </x:c>
      <x:c r="F9" s="195" t="str">
        <x:v>Meeting + working distinction</x:v>
      </x:c>
      <x:c r="G9" s="197" t="str">
        <x:v>U01; M05</x:v>
      </x:c>
    </x:row>
    <x:row r="10" ht="75" customHeight="1">
      <x:c r="A10" s="199" t="str">
        <x:v>Pattern</x:v>
      </x:c>
      <x:c r="B10" s="198" t="str">
        <x:v>What repeats across records or time?</x:v>
      </x:c>
      <x:c r="C10" s="198" t="str">
        <x:v>A new incident relates to a capability previously said to be remediated.</x:v>
      </x:c>
      <x:c r="D10" s="198" t="str">
        <x:v>Aggregates observations across multiple events.</x:v>
      </x:c>
      <x:c r="E10" s="198" t="str">
        <x:v>A repeated text fragment is not automatically an independent incident or recurring failure.</x:v>
      </x:c>
      <x:c r="F10" s="198" t="str">
        <x:v>Meeting + working distinction</x:v>
      </x:c>
      <x:c r="G10" s="200" t="str">
        <x:v>U01; M20; M21</x:v>
      </x:c>
    </x:row>
    <x:row r="11" ht="20" customHeight="1">
      <x:c r="A11" s="19"/>
      <x:c r="B11" s="19"/>
      <x:c r="C11" s="19"/>
      <x:c r="D11" s="19"/>
      <x:c r="E11" s="19"/>
      <x:c r="F11" s="19"/>
      <x:c r="G11" s="19"/>
    </x:row>
    <x:row r="12" ht="20" customHeight="1">
      <x:c r="A12" s="19"/>
      <x:c r="B12" s="19"/>
      <x:c r="C12" s="19"/>
      <x:c r="D12" s="19"/>
      <x:c r="E12" s="19"/>
      <x:c r="F12" s="19"/>
      <x:c r="G12" s="19"/>
    </x:row>
    <x:row r="13" ht="25" customHeight="1">
      <x:c r="A13" s="41" t="str">
        <x:v>OUTAGE → INCIDENT → PROBLEM → ISSUE → ACTION | A learning illustration</x:v>
      </x:c>
      <x:c r="B13" s="41"/>
      <x:c r="C13" s="41"/>
      <x:c r="D13" s="41"/>
      <x:c r="E13" s="41"/>
      <x:c r="F13" s="41"/>
      <x:c r="G13" s="41"/>
    </x:row>
    <x:row r="14" ht="32" customHeight="1">
      <x:c r="A14" s="194" t="str">
        <x:v>Concept</x:v>
      </x:c>
      <x:c r="B14" s="194" t="str">
        <x:v>Working meaning</x:v>
      </x:c>
      <x:c r="C14" s="194" t="str">
        <x:v>Illustration</x:v>
      </x:c>
      <x:c r="D14" s="194" t="str">
        <x:v>Next analytical question</x:v>
      </x:c>
      <x:c r="E14" s="194" t="str">
        <x:v>What the chain does NOT establish</x:v>
      </x:c>
      <x:c r="F14" s="194" t="str">
        <x:v>Basis</x:v>
      </x:c>
      <x:c r="G14" s="194" t="str">
        <x:v>Sources</x:v>
      </x:c>
    </x:row>
    <x:row r="15" ht="70" customHeight="1">
      <x:c r="A15" s="196" t="str">
        <x:v>Outage</x:v>
      </x:c>
      <x:c r="B15" s="195" t="str">
        <x:v>The service is unavailable.</x:v>
      </x:c>
      <x:c r="C15" s="195" t="str">
        <x:v>Payment service interruption.</x:v>
      </x:c>
      <x:c r="D15" s="195" t="str">
        <x:v>How is this disruption recorded?</x:v>
      </x:c>
      <x:c r="E15" s="195" t="str">
        <x:v>The formal outage/incident relationship must be confirmed.</x:v>
      </x:c>
      <x:c r="F15" s="195" t="str">
        <x:v>User working definition</x:v>
      </x:c>
      <x:c r="G15" s="197" t="str">
        <x:v>U01</x:v>
      </x:c>
    </x:row>
    <x:row r="16" ht="70" customHeight="1">
      <x:c r="A16" s="199" t="str">
        <x:v>Incident</x:v>
      </x:c>
      <x:c r="B16" s="198" t="str">
        <x:v>A disruption is recorded.</x:v>
      </x:c>
      <x:c r="C16" s="198" t="str">
        <x:v>A ticket describes an unavailable service.</x:v>
      </x:c>
      <x:c r="D16" s="198" t="str">
        <x:v>What happened and what does the evidence show?</x:v>
      </x:c>
      <x:c r="E16" s="198" t="str">
        <x:v>A ticket does not itself establish root cause or supplier fault.</x:v>
      </x:c>
      <x:c r="F16" s="198" t="str">
        <x:v>User working definition</x:v>
      </x:c>
      <x:c r="G16" s="200" t="str">
        <x:v>U01; M05</x:v>
      </x:c>
    </x:row>
    <x:row r="17" ht="70" customHeight="1">
      <x:c r="A17" s="196" t="str">
        <x:v>Problem</x:v>
      </x:c>
      <x:c r="B17" s="195" t="str">
        <x:v>The reason for one or more incidents is investigated.</x:v>
      </x:c>
      <x:c r="C17" s="195" t="str">
        <x:v>Investigate the technical or process cause.</x:v>
      </x:c>
      <x:c r="D17" s="195" t="str">
        <x:v>Is the underlying cause established or still suspected?</x:v>
      </x:c>
      <x:c r="E17" s="195" t="str">
        <x:v>Do not treat the existence of a Problem record as a completed causal finding.</x:v>
      </x:c>
      <x:c r="F17" s="195" t="str">
        <x:v>Working distinction</x:v>
      </x:c>
      <x:c r="G17" s="197" t="str">
        <x:v>U01</x:v>
      </x:c>
    </x:row>
    <x:row r="18" ht="70" customHeight="1">
      <x:c r="A18" s="199" t="str">
        <x:v>Issue</x:v>
      </x:c>
      <x:c r="B18" s="198" t="str">
        <x:v>A weakness or concern is identified.</x:v>
      </x:c>
      <x:c r="C18" s="198" t="str">
        <x:v>Potential gap in backup arrangements.</x:v>
      </x:c>
      <x:c r="D18" s="198" t="str">
        <x:v>What capability needs review or improvement?</x:v>
      </x:c>
      <x:c r="E18" s="198" t="str">
        <x:v>Not every issue must follow an outage; exact Helios semantics need validation.</x:v>
      </x:c>
      <x:c r="F18" s="198" t="str">
        <x:v>User notes; to confirm</x:v>
      </x:c>
      <x:c r="G18" s="200" t="str">
        <x:v>U01; M11</x:v>
      </x:c>
    </x:row>
    <x:row r="19" ht="70" customHeight="1">
      <x:c r="A19" s="196" t="str">
        <x:v>Action</x:v>
      </x:c>
      <x:c r="B19" s="195" t="str">
        <x:v>A remedial step is defined.</x:v>
      </x:c>
      <x:c r="C19" s="195" t="str">
        <x:v>Improve arrangements, testing or contractual requirements.</x:v>
      </x:c>
      <x:c r="D19" s="195" t="str">
        <x:v>What evidence will show completion and effectiveness?</x:v>
      </x:c>
      <x:c r="E19" s="195" t="str">
        <x:v>Action status alone is not proof that the underlying concern has been resolved.</x:v>
      </x:c>
      <x:c r="F19" s="195" t="str">
        <x:v>User notes; working distinction</x:v>
      </x:c>
      <x:c r="G19" s="197" t="str">
        <x:v>U01; M20</x:v>
      </x:c>
    </x:row>
    <x:row r="20" ht="20" customHeight="1">
      <x:c r="A20" s="19"/>
      <x:c r="B20" s="19"/>
      <x:c r="C20" s="19"/>
      <x:c r="D20" s="19"/>
      <x:c r="E20" s="19"/>
      <x:c r="F20" s="19"/>
      <x:c r="G20" s="19"/>
    </x:row>
    <x:row r="21" ht="20" customHeight="1">
      <x:c r="A21" s="19"/>
      <x:c r="B21" s="19"/>
      <x:c r="C21" s="19"/>
      <x:c r="D21" s="19"/>
      <x:c r="E21" s="19"/>
      <x:c r="F21" s="19"/>
      <x:c r="G21" s="19"/>
    </x:row>
    <x:row r="22" ht="20" customHeight="1">
      <x:c r="A22" s="82" t="str">
        <x:v>The source notes show this chain to aid understanding. It should not be presented as a universal one-to-one sequence or as a confirmed SQL relationship. Formal source-system definitions and links need team validation.</x:v>
      </x:c>
      <x:c r="B22" s="82"/>
      <x:c r="C22" s="82"/>
      <x:c r="D22" s="82"/>
      <x:c r="E22" s="82"/>
      <x:c r="F22" s="82"/>
      <x:c r="G22" s="82"/>
    </x:row>
    <x:row r="23" ht="20" customHeight="1">
      <x:c r="A23" s="82"/>
      <x:c r="B23" s="82"/>
      <x:c r="C23" s="82"/>
      <x:c r="D23" s="82"/>
      <x:c r="E23" s="82"/>
      <x:c r="F23" s="82"/>
      <x:c r="G23" s="82"/>
    </x:row>
    <x:row r="24" ht="20" customHeight="1">
      <x:c r="A24" s="82"/>
      <x:c r="B24" s="82"/>
      <x:c r="C24" s="82"/>
      <x:c r="D24" s="82"/>
      <x:c r="E24" s="82"/>
      <x:c r="F24" s="82"/>
      <x:c r="G24" s="82"/>
    </x:row>
    <x:row r="25" ht="20" customHeight="1">
      <x:c r="A25" s="19"/>
      <x:c r="B25" s="19"/>
      <x:c r="C25" s="19"/>
      <x:c r="D25" s="19"/>
      <x:c r="E25" s="19"/>
      <x:c r="F25" s="19"/>
      <x:c r="G25" s="19"/>
    </x:row>
    <x:row r="26" ht="25" customHeight="1">
      <x:c r="A26" s="41" t="str">
        <x:v>THREE QUESTIONS | Three distinctions, not necessarily three model calls</x:v>
      </x:c>
      <x:c r="B26" s="41"/>
      <x:c r="C26" s="41"/>
      <x:c r="D26" s="41"/>
      <x:c r="E26" s="41"/>
      <x:c r="F26" s="41"/>
      <x:c r="G26" s="41"/>
    </x:row>
    <x:row r="27" ht="32" customHeight="1">
      <x:c r="A27" s="194" t="str">
        <x:v>Question</x:v>
      </x:c>
      <x:c r="B27" s="194" t="str">
        <x:v>Task</x:v>
      </x:c>
      <x:c r="C27" s="194" t="str">
        <x:v>Example</x:v>
      </x:c>
      <x:c r="D27" s="194" t="str">
        <x:v>Distinction</x:v>
      </x:c>
      <x:c r="E27" s="194" t="str">
        <x:v>Boundary</x:v>
      </x:c>
      <x:c r="F27" s="194" t="str">
        <x:v>Basis</x:v>
      </x:c>
      <x:c r="G27" s="194" t="str">
        <x:v>Sources</x:v>
      </x:c>
    </x:row>
    <x:row r="28" ht="75" customHeight="1">
      <x:c r="A28" s="196" t="str">
        <x:v>Who is involved?</x:v>
      </x:c>
      <x:c r="B28" s="195" t="str">
        <x:v>Identify the system, service and related companies.</x:v>
      </x:c>
      <x:c r="C28" s="195" t="str">
        <x:v>IBM provides the mainframe.</x:v>
      </x:c>
      <x:c r="D28" s="195" t="str">
        <x:v>Identity and role.</x:v>
      </x:c>
      <x:c r="E28" s="195" t="str">
        <x:v>Do not infer responsibility from the product name.</x:v>
      </x:c>
      <x:c r="F28" s="195" t="str">
        <x:v>Meeting example</x:v>
      </x:c>
      <x:c r="G28" s="197" t="str">
        <x:v>M05</x:v>
      </x:c>
    </x:row>
    <x:row r="29" ht="75" customHeight="1">
      <x:c r="A29" s="199" t="str">
        <x:v>What happened?</x:v>
      </x:c>
      <x:c r="B29" s="198" t="str">
        <x:v>Describe the failure and the investigation evidence.</x:v>
      </x:c>
      <x:c r="C29" s="198" t="str">
        <x:v>A mainframe failure follows an internal change in the meeting example.</x:v>
      </x:c>
      <x:c r="D29" s="198" t="str">
        <x:v>Event and causal evidence.</x:v>
      </x:c>
      <x:c r="E29" s="198" t="str">
        <x:v>Keep observations, reported hypotheses and confirmed findings distinct.</x:v>
      </x:c>
      <x:c r="F29" s="198" t="str">
        <x:v>Meeting example</x:v>
      </x:c>
      <x:c r="G29" s="200" t="str">
        <x:v>M05</x:v>
      </x:c>
    </x:row>
    <x:row r="30" ht="75" customHeight="1">
      <x:c r="A30" s="196" t="str">
        <x:v>What does that imply?</x:v>
      </x:c>
      <x:c r="B30" s="195" t="str">
        <x:v>Assess responsibility and any capability concern supported by evidence.</x:v>
      </x:c>
      <x:c r="C30" s="195" t="str">
        <x:v>The meeting example attributes the cause to HSBC, not IBM.</x:v>
      </x:c>
      <x:c r="D30" s="195" t="str">
        <x:v>Attribution and capability review.</x:v>
      </x:c>
      <x:c r="E30" s="195" t="str">
        <x:v>Label set, review rules and LLM-call design are not fixed by the meeting.</x:v>
      </x:c>
      <x:c r="F30" s="195" t="str">
        <x:v>Working interpretation</x:v>
      </x:c>
      <x:c r="G30" s="197" t="str">
        <x:v>U01; M05; M18</x:v>
      </x:c>
    </x:row>
    <x:row r="31" ht="20" customHeight="1">
      <x:c r="A31" s="19"/>
      <x:c r="B31" s="19"/>
      <x:c r="C31" s="19"/>
      <x:c r="D31" s="19"/>
      <x:c r="E31" s="19"/>
      <x:c r="F31" s="19"/>
      <x:c r="G31" s="19"/>
    </x:row>
    <x:row r="32" ht="20" customHeight="1">
      <x:c r="A32" s="19"/>
      <x:c r="B32" s="19"/>
      <x:c r="C32" s="19"/>
      <x:c r="D32" s="19"/>
      <x:c r="E32" s="19"/>
      <x:c r="F32" s="19"/>
      <x:c r="G32" s="19"/>
    </x:row>
    <x:row r="33" ht="20" customHeight="1">
      <x:c r="A33" s="19"/>
      <x:c r="B33" s="19"/>
      <x:c r="C33" s="19"/>
      <x:c r="D33" s="19"/>
      <x:c r="E33" s="19"/>
      <x:c r="F33" s="19"/>
      <x:c r="G33" s="19"/>
    </x:row>
    <x:row r="34" ht="20" customHeight="1">
      <x:c r="A34" s="19"/>
      <x:c r="B34" s="19"/>
      <x:c r="C34" s="19"/>
      <x:c r="D34" s="19"/>
      <x:c r="E34" s="19"/>
      <x:c r="F34" s="19"/>
      <x:c r="G34" s="19"/>
    </x:row>
    <x:row r="35" ht="20" customHeight="1">
      <x:c r="A35" s="19"/>
      <x:c r="B35" s="19"/>
      <x:c r="C35" s="19"/>
      <x:c r="D35" s="19"/>
      <x:c r="E35" s="19"/>
      <x:c r="F35" s="19"/>
      <x:c r="G35" s="19"/>
    </x:row>
    <x:row r="36" ht="20" customHeight="1">
      <x:c r="A36" s="19"/>
      <x:c r="B36" s="19"/>
      <x:c r="C36" s="19"/>
      <x:c r="D36" s="19"/>
      <x:c r="E36" s="19"/>
      <x:c r="F36" s="19"/>
      <x:c r="G36" s="19"/>
    </x:row>
    <x:row r="37" ht="20" customHeight="1">
      <x:c r="A37" s="19"/>
      <x:c r="B37" s="19"/>
      <x:c r="C37" s="19"/>
      <x:c r="D37" s="19"/>
      <x:c r="E37" s="19"/>
      <x:c r="F37" s="19"/>
      <x:c r="G37" s="19"/>
    </x:row>
    <x:row r="38" ht="20" customHeight="1">
      <x:c r="A38" s="19"/>
      <x:c r="B38" s="19"/>
      <x:c r="C38" s="19"/>
      <x:c r="D38" s="19"/>
      <x:c r="E38" s="19"/>
      <x:c r="F38" s="19"/>
      <x:c r="G38" s="19"/>
    </x:row>
    <x:row r="39" ht="20" customHeight="1">
      <x:c r="A39" s="19"/>
      <x:c r="B39" s="19"/>
      <x:c r="C39" s="19"/>
      <x:c r="D39" s="19"/>
      <x:c r="E39" s="19"/>
      <x:c r="F39" s="19"/>
      <x:c r="G39" s="19"/>
    </x:row>
    <x:row r="40" ht="20" customHeight="1">
      <x:c r="A40" s="19"/>
      <x:c r="B40" s="19"/>
      <x:c r="C40" s="19"/>
      <x:c r="D40" s="19"/>
      <x:c r="E40" s="19"/>
      <x:c r="F40" s="19"/>
      <x:c r="G40" s="19"/>
    </x:row>
    <x:row r="41" ht="20" customHeight="1">
      <x:c r="A41" s="19"/>
      <x:c r="B41" s="19"/>
      <x:c r="C41" s="19"/>
      <x:c r="D41" s="19"/>
      <x:c r="E41" s="19"/>
      <x:c r="F41" s="19"/>
      <x:c r="G41" s="19"/>
    </x:row>
    <x:row r="42" ht="20" customHeight="1">
      <x:c r="A42" s="19"/>
      <x:c r="B42" s="19"/>
      <x:c r="C42" s="19"/>
      <x:c r="D42" s="19"/>
      <x:c r="E42" s="19"/>
      <x:c r="F42" s="19"/>
      <x:c r="G42" s="19"/>
    </x:row>
    <x:row r="43" ht="20" customHeight="1">
      <x:c r="A43" s="19"/>
      <x:c r="B43" s="19"/>
      <x:c r="C43" s="19"/>
      <x:c r="D43" s="19"/>
      <x:c r="E43" s="19"/>
      <x:c r="F43" s="19"/>
      <x:c r="G43" s="19"/>
    </x:row>
    <x:row r="44" ht="20" customHeight="1">
      <x:c r="A44" s="19"/>
      <x:c r="B44" s="19"/>
      <x:c r="C44" s="19"/>
      <x:c r="D44" s="19"/>
      <x:c r="E44" s="19"/>
      <x:c r="F44" s="19"/>
      <x:c r="G44" s="19"/>
    </x:row>
    <x:row r="45" ht="20" customHeight="1">
      <x:c r="A45" s="19"/>
      <x:c r="B45" s="19"/>
      <x:c r="C45" s="19"/>
      <x:c r="D45" s="19"/>
      <x:c r="E45" s="19"/>
      <x:c r="F45" s="19"/>
      <x:c r="G45" s="19"/>
    </x:row>
  </x:sheetData>
  <x:mergeCells>
    <x:mergeCell ref="A1:G2"/>
    <x:mergeCell ref="A3:G3"/>
    <x:mergeCell ref="A4:G4"/>
    <x:mergeCell ref="A13:G13"/>
    <x:mergeCell ref="A22:G24"/>
    <x:mergeCell ref="A26:G26"/>
  </x:mergeCells>
  <x:pageMargins left="0.7" right="0.7" top="0.75" bottom="0.75" header="0.3" footer="0.3"/>
  <x:tableParts count="3">
    <x:tablePart xmlns:r="http://schemas.openxmlformats.org/officeDocument/2006/relationships" r:id="Ra93195ca373b42ea"/>
    <x:tablePart xmlns:r="http://schemas.openxmlformats.org/officeDocument/2006/relationships" r:id="R6519b00a56404772"/>
    <x:tablePart xmlns:r="http://schemas.openxmlformats.org/officeDocument/2006/relationships" r:id="Ra730620083c24707"/>
  </x:tableParts>
</x:worksheet>
</file>

<file path=xl/worksheets/sheet6.xml><?xml version="1.0" encoding="utf-8"?>
<x:worksheet xmlns:x="http://schemas.openxmlformats.org/spreadsheetml/2006/main">
  <x:sheetPr>
    <x:tabColor rgb="FF24242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.5" hidden="0" customWidth="1"/>
    <x:col min="2" max="2" width="23.75" hidden="0" customWidth="1"/>
    <x:col min="3" max="3" width="42.5" hidden="0" customWidth="1"/>
    <x:col min="4" max="4" width="42.5" hidden="0" customWidth="1"/>
    <x:col min="5" max="5" width="43.75" hidden="0" customWidth="1"/>
  </x:cols>
  <x:sheetData>
    <x:row r="1" ht="25" customHeight="1">
      <x:c r="A1" s="32" t="str">
        <x:v>Worked example | A scanning-service review</x:v>
      </x:c>
      <x:c r="B1" s="32"/>
      <x:c r="C1" s="32"/>
      <x:c r="D1" s="32"/>
      <x:c r="E1" s="32"/>
    </x:row>
    <x:row r="2" ht="25" customHeight="1">
      <x:c r="A2" s="32"/>
      <x:c r="B2" s="32"/>
      <x:c r="C2" s="32"/>
      <x:c r="D2" s="32"/>
      <x:c r="E2" s="32"/>
    </x:row>
    <x:row r="3" ht="25" customHeight="1">
      <x:c r="A3" s="41" t="str">
        <x:v>HYPOTHETICAL END-TO-END STORY  •  NOT AN ACTUAL HSBC SUPPLIER CASE</x:v>
      </x:c>
      <x:c r="B3" s="41"/>
      <x:c r="C3" s="41"/>
      <x:c r="D3" s="41"/>
      <x:c r="E3" s="41"/>
    </x:row>
    <x:row r="4" ht="31" customHeight="1">
      <x:c r="A4" s="49" t="str">
        <x:v>This is the user's illustrative scenario, translated and structured for discussion. No real incident, contractual breach or completed remediation is asserted.</x:v>
      </x:c>
      <x:c r="B4" s="49"/>
      <x:c r="C4" s="49"/>
      <x:c r="D4" s="49"/>
      <x:c r="E4" s="49"/>
    </x:row>
    <x:row r="5" ht="10" customHeight="1">
      <x:c r="A5" s="19"/>
      <x:c r="B5" s="19"/>
      <x:c r="C5" s="19"/>
      <x:c r="D5" s="19"/>
      <x:c r="E5" s="19"/>
    </x:row>
    <x:row r="6" ht="32" customHeight="1">
      <x:c r="A6" s="194" t="str">
        <x:v>Step</x:v>
      </x:c>
      <x:c r="B6" s="194" t="str">
        <x:v>Activity</x:v>
      </x:c>
      <x:c r="C6" s="194" t="str">
        <x:v>Illustrative information</x:v>
      </x:c>
      <x:c r="D6" s="194" t="str">
        <x:v>Question for the reviewer</x:v>
      </x:c>
      <x:c r="E6" s="194" t="str">
        <x:v>What the product should make clear</x:v>
      </x:c>
    </x:row>
    <x:row r="7" ht="65" customHeight="1">
      <x:c r="A7" s="195" t="str">
        <x:v>01</x:v>
      </x:c>
      <x:c r="B7" s="196" t="str">
        <x:v>Review the relationship</x:v>
      </x:c>
      <x:c r="C7" s="195" t="str">
        <x:v>A supplier provides letter scanning and distribution.</x:v>
      </x:c>
      <x:c r="D7" s="195" t="str">
        <x:v>Which bank activities rely on this service?</x:v>
      </x:c>
      <x:c r="E7" s="197" t="str">
        <x:v>A clear supplier/service review scope.</x:v>
      </x:c>
    </x:row>
    <x:row r="8" ht="65" customHeight="1">
      <x:c r="A8" s="198" t="str">
        <x:v>02</x:v>
      </x:c>
      <x:c r="B8" s="199" t="str">
        <x:v>Find a relevant record</x:v>
      </x:c>
      <x:c r="C8" s="198" t="str">
        <x:v>A business record describes delayed letter processing.</x:v>
      </x:c>
      <x:c r="D8" s="198" t="str">
        <x:v>Is this record linked to the service under review?</x:v>
      </x:c>
      <x:c r="E8" s="200" t="str">
        <x:v>A source-linked candidate incident, not an assumed conclusion.</x:v>
      </x:c>
    </x:row>
    <x:row r="9" ht="65" customHeight="1">
      <x:c r="A9" s="195" t="str">
        <x:v>03</x:v>
      </x:c>
      <x:c r="B9" s="196" t="str">
        <x:v>Understand the event</x:v>
      </x:c>
      <x:c r="C9" s="195" t="str">
        <x:v>The record reports a scanner failure at the supplier's site.</x:v>
      </x:c>
      <x:c r="D9" s="195" t="str">
        <x:v>What failed, when, and what supporting evidence exists?</x:v>
      </x:c>
      <x:c r="E9" s="197" t="str">
        <x:v>An event description that retains uncertainty.</x:v>
      </x:c>
    </x:row>
    <x:row r="10" ht="65" customHeight="1">
      <x:c r="A10" s="198" t="str">
        <x:v>04</x:v>
      </x:c>
      <x:c r="B10" s="199" t="str">
        <x:v>Assess cause separately</x:v>
      </x:c>
      <x:c r="C10" s="198" t="str">
        <x:v>No final root-cause conclusion is assumed in this example.</x:v>
      </x:c>
      <x:c r="D10" s="198" t="str">
        <x:v>Does the evidence establish supplier cause, bank cause, or neither?</x:v>
      </x:c>
      <x:c r="E10" s="200" t="str">
        <x:v>Responsibility remains unresolved unless the evidence supports it.</x:v>
      </x:c>
    </x:row>
    <x:row r="11" ht="65" customHeight="1">
      <x:c r="A11" s="195" t="str">
        <x:v>05</x:v>
      </x:c>
      <x:c r="B11" s="196" t="str">
        <x:v>Identify the capability concern</x:v>
      </x:c>
      <x:c r="C11" s="195" t="str">
        <x:v>A second hypothetical record says rapid replacement was unavailable.</x:v>
      </x:c>
      <x:c r="D11" s="195" t="str">
        <x:v>Does this indicate a continuity or recovery arrangement requiring review?</x:v>
      </x:c>
      <x:c r="E11" s="197" t="str">
        <x:v>A potential capability concern, not an invented proven breach.</x:v>
      </x:c>
    </x:row>
    <x:row r="12" ht="65" customHeight="1">
      <x:c r="A12" s="198" t="str">
        <x:v>06</x:v>
      </x:c>
      <x:c r="B12" s="199" t="str">
        <x:v>Prepare targeted questions</x:v>
      </x:c>
      <x:c r="C12" s="198" t="str">
        <x:v>The reviewer asks about spare equipment, backup-site capacity and tests.</x:v>
      </x:c>
      <x:c r="D12" s="198" t="str">
        <x:v>What evidence can demonstrate that arrangements work?</x:v>
      </x:c>
      <x:c r="E12" s="200" t="str">
        <x:v>A service-relevant evidence request.</x:v>
      </x:c>
    </x:row>
    <x:row r="13" ht="65" customHeight="1">
      <x:c r="A13" s="195" t="str">
        <x:v>07</x:v>
      </x:c>
      <x:c r="B13" s="196" t="str">
        <x:v>Review the response</x:v>
      </x:c>
      <x:c r="C13" s="195" t="str">
        <x:v>The supplier provides answers and supporting material.</x:v>
      </x:c>
      <x:c r="D13" s="195" t="str">
        <x:v>Are answers consistent with existing evidence; what gaps remain?</x:v>
      </x:c>
      <x:c r="E13" s="197" t="str">
        <x:v>Reviewed findings and proposed improvements.</x:v>
      </x:c>
    </x:row>
    <x:row r="14" ht="65" customHeight="1">
      <x:c r="A14" s="198" t="str">
        <x:v>08</x:v>
      </x:c>
      <x:c r="B14" s="199" t="str">
        <x:v>Follow up remediation</x:v>
      </x:c>
      <x:c r="C14" s="198" t="str">
        <x:v>Improvements are agreed and later reviewed.</x:v>
      </x:c>
      <x:c r="D14" s="198" t="str">
        <x:v>Has the action been completed and shown to be effective?</x:v>
      </x:c>
      <x:c r="E14" s="200" t="str">
        <x:v>Follow-up evidence, not reliance on status alone.</x:v>
      </x:c>
    </x:row>
    <x:row r="15" ht="65" customHeight="1">
      <x:c r="A15" s="195" t="str">
        <x:v>09</x:v>
      </x:c>
      <x:c r="B15" s="196" t="str">
        <x:v>Review recurrence or alternatives</x:v>
      </x:c>
      <x:c r="C15" s="195" t="str">
        <x:v>A similar future incident would trigger further review.</x:v>
      </x:c>
      <x:c r="D15" s="195" t="str">
        <x:v>Does the concern persist; are continuity or exit options needed?</x:v>
      </x:c>
      <x:c r="E15" s="197" t="str">
        <x:v>A link to wider WS5 considerations where appropriate.</x:v>
      </x:c>
    </x:row>
    <x:row r="16" ht="20" customHeight="1">
      <x:c r="A16" s="19"/>
      <x:c r="B16" s="19"/>
      <x:c r="C16" s="19"/>
      <x:c r="D16" s="19"/>
      <x:c r="E16" s="19"/>
    </x:row>
    <x:row r="17" ht="20" customHeight="1">
      <x:c r="A17" s="49" t="str">
        <x:v>Source: U02. The workflow illustrates M10, M11, M14, M16 and M20. Finding a concern, establishing a cause and agreeing an action are separate steps.</x:v>
      </x:c>
      <x:c r="B17" s="49"/>
      <x:c r="C17" s="49"/>
      <x:c r="D17" s="49"/>
      <x:c r="E17" s="49"/>
    </x:row>
    <x:row r="18" ht="20" customHeight="1">
      <x:c r="A18" s="49"/>
      <x:c r="B18" s="49"/>
      <x:c r="C18" s="49"/>
      <x:c r="D18" s="49"/>
      <x:c r="E18" s="49"/>
    </x:row>
    <x:row r="19" ht="20" customHeight="1">
      <x:c r="A19" s="19"/>
      <x:c r="B19" s="19"/>
      <x:c r="C19" s="19"/>
      <x:c r="D19" s="19"/>
      <x:c r="E19" s="19"/>
    </x:row>
    <x:row r="20" ht="25" customHeight="1">
      <x:c r="A20" s="41" t="str">
        <x:v>ATTRIBUTION CHECKPOINT | Same supplier/product, different possible conclusions</x:v>
      </x:c>
      <x:c r="B20" s="41"/>
      <x:c r="C20" s="41"/>
      <x:c r="D20" s="41"/>
      <x:c r="E20" s="41"/>
    </x:row>
    <x:row r="21" ht="32" customHeight="1">
      <x:c r="A21" s="194" t="str">
        <x:v>Case type</x:v>
      </x:c>
      <x:c r="B21" s="194" t="str">
        <x:v>What the evidence says</x:v>
      </x:c>
      <x:c r="C21" s="194" t="str">
        <x:v>Conclusion boundary</x:v>
      </x:c>
      <x:c r="D21" s="194" t="str">
        <x:v>Lesson</x:v>
      </x:c>
      <x:c r="E21" s="194" t="str">
        <x:v>Basis</x:v>
      </x:c>
    </x:row>
    <x:row r="22" ht="80" customHeight="1">
      <x:c r="A22" s="196" t="str">
        <x:v>Meeting example</x:v>
      </x:c>
      <x:c r="B22" s="195" t="str">
        <x:v>IBM provides the mainframe; an internal HSBC change causes failure.</x:v>
      </x:c>
      <x:c r="C22" s="195" t="str">
        <x:v>HSBC change is the stated cause in that example.</x:v>
      </x:c>
      <x:c r="D22" s="195" t="str">
        <x:v>Do not attribute fault to IBM merely because its product is involved.</x:v>
      </x:c>
      <x:c r="E22" s="197" t="str">
        <x:v>M05</x:v>
      </x:c>
    </x:row>
    <x:row r="23" ht="80" customHeight="1">
      <x:c r="A23" s="199" t="str">
        <x:v>Hypothetical alternative</x:v>
      </x:c>
      <x:c r="B23" s="198" t="str">
        <x:v>Assume reviewed evidence establishes a supplier-service defect.</x:v>
      </x:c>
      <x:c r="C23" s="198" t="str">
        <x:v>Supplier cause may be supported by that evidence.</x:v>
      </x:c>
      <x:c r="D23" s="198" t="str">
        <x:v>This is an illustrative alternative, not a real case from the meeting.</x:v>
      </x:c>
      <x:c r="E23" s="200" t="str">
        <x:v>Illustrative</x:v>
      </x:c>
    </x:row>
    <x:row r="24" ht="80" customHeight="1">
      <x:c r="A24" s="196" t="str">
        <x:v>Insufficient evidence</x:v>
      </x:c>
      <x:c r="B24" s="195" t="str">
        <x:v>Only the supplier/product name and service failure are known.</x:v>
      </x:c>
      <x:c r="C24" s="195" t="str">
        <x:v>Responsibility is not established.</x:v>
      </x:c>
      <x:c r="D24" s="195" t="str">
        <x:v>Association must not be converted into a confident causal conclusion.</x:v>
      </x:c>
      <x:c r="E24" s="197" t="str">
        <x:v>Working distinction</x:v>
      </x:c>
    </x:row>
    <x:row r="25" ht="20" customHeight="1">
      <x:c r="A25" s="19"/>
      <x:c r="B25" s="19"/>
      <x:c r="C25" s="19"/>
      <x:c r="D25" s="19"/>
      <x:c r="E25" s="19"/>
    </x:row>
    <x:row r="26" ht="20" customHeight="1">
      <x:c r="A26" s="19"/>
      <x:c r="B26" s="19"/>
      <x:c r="C26" s="19"/>
      <x:c r="D26" s="19"/>
      <x:c r="E26" s="19"/>
    </x:row>
    <x:row r="27" ht="20" customHeight="1">
      <x:c r="A27" s="88" t="str">
        <x:v>Supplier → Service → Relevant evidence → Capability review → Questions and response evidence → Improvement → Follow-up
The SQL preparation pipeline supports this journey; it is not the whole journey.</x:v>
      </x:c>
      <x:c r="B27" s="88"/>
      <x:c r="C27" s="88"/>
      <x:c r="D27" s="88"/>
      <x:c r="E27" s="88"/>
    </x:row>
    <x:row r="28" ht="20" customHeight="1">
      <x:c r="A28" s="88"/>
      <x:c r="B28" s="88"/>
      <x:c r="C28" s="88"/>
      <x:c r="D28" s="88"/>
      <x:c r="E28" s="88"/>
    </x:row>
    <x:row r="29" ht="20" customHeight="1">
      <x:c r="A29" s="88"/>
      <x:c r="B29" s="88"/>
      <x:c r="C29" s="88"/>
      <x:c r="D29" s="88"/>
      <x:c r="E29" s="88"/>
    </x:row>
    <x:row r="30" ht="20" customHeight="1">
      <x:c r="A30" s="19"/>
      <x:c r="B30" s="19"/>
      <x:c r="C30" s="19"/>
      <x:c r="D30" s="19"/>
      <x:c r="E30" s="19"/>
    </x:row>
    <x:row r="31" ht="20" customHeight="1">
      <x:c r="A31" s="19"/>
      <x:c r="B31" s="19"/>
      <x:c r="C31" s="19"/>
      <x:c r="D31" s="19"/>
      <x:c r="E31" s="19"/>
    </x:row>
    <x:row r="32" ht="20" customHeight="1">
      <x:c r="A32" s="19"/>
      <x:c r="B32" s="19"/>
      <x:c r="C32" s="19"/>
      <x:c r="D32" s="19"/>
      <x:c r="E32" s="19"/>
    </x:row>
    <x:row r="33" ht="20" customHeight="1">
      <x:c r="A33" s="19"/>
      <x:c r="B33" s="19"/>
      <x:c r="C33" s="19"/>
      <x:c r="D33" s="19"/>
      <x:c r="E33" s="19"/>
    </x:row>
    <x:row r="34" ht="20" customHeight="1">
      <x:c r="A34" s="19"/>
      <x:c r="B34" s="19"/>
      <x:c r="C34" s="19"/>
      <x:c r="D34" s="19"/>
      <x:c r="E34" s="19"/>
    </x:row>
  </x:sheetData>
  <x:mergeCells>
    <x:mergeCell ref="A1:E2"/>
    <x:mergeCell ref="A3:E3"/>
    <x:mergeCell ref="A4:E4"/>
    <x:mergeCell ref="A17:E18"/>
    <x:mergeCell ref="A20:E20"/>
    <x:mergeCell ref="A27:E29"/>
  </x:mergeCells>
  <x:pageMargins left="0.7" right="0.7" top="0.75" bottom="0.75" header="0.3" footer="0.3"/>
  <x:tableParts count="2">
    <x:tablePart xmlns:r="http://schemas.openxmlformats.org/officeDocument/2006/relationships" r:id="Re3acb7e41f874b8e"/>
    <x:tablePart xmlns:r="http://schemas.openxmlformats.org/officeDocument/2006/relationships" r:id="R364d554f32cc4b05"/>
  </x:tableParts>
</x:worksheet>
</file>

<file path=xl/worksheets/sheet7.xml><?xml version="1.0" encoding="utf-8"?>
<x:worksheet xmlns:x="http://schemas.openxmlformats.org/spreadsheetml/2006/main">
  <x:sheetPr>
    <x:tabColor rgb="FFDB0011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8.130000114440918" hidden="0" customWidth="1"/>
    <x:col min="2" max="2" width="21.25" hidden="0" customWidth="1"/>
    <x:col min="3" max="3" width="40.630001068115234" hidden="0" customWidth="1"/>
    <x:col min="4" max="4" width="44.380001068115234" hidden="0" customWidth="1"/>
    <x:col min="5" max="5" width="16.25" hidden="0" customWidth="1"/>
    <x:col min="6" max="6" width="37.5" hidden="0" customWidth="1"/>
    <x:col min="7" max="7" width="18.75" hidden="0" customWidth="1"/>
  </x:cols>
  <x:sheetData>
    <x:row r="1" ht="25" customHeight="1">
      <x:c r="A1" s="32" t="str">
        <x:v>Team review | Confirm, correct or refine</x:v>
      </x:c>
      <x:c r="B1" s="32"/>
      <x:c r="C1" s="32"/>
      <x:c r="D1" s="32"/>
      <x:c r="E1" s="32"/>
      <x:c r="F1" s="32"/>
      <x:c r="G1" s="32"/>
    </x:row>
    <x:row r="2" ht="25" customHeight="1">
      <x:c r="A2" s="32"/>
      <x:c r="B2" s="32"/>
      <x:c r="C2" s="32"/>
      <x:c r="D2" s="32"/>
      <x:c r="E2" s="32"/>
      <x:c r="F2" s="32"/>
      <x:c r="G2" s="32"/>
    </x:row>
    <x:row r="3" ht="25" customHeight="1">
      <x:c r="A3" s="41" t="str">
        <x:v>EDITABLE DISCUSSION LOG  •  NO TEAM DECISIONS HAVE BEEN PRE-FILLED</x:v>
      </x:c>
      <x:c r="B3" s="41"/>
      <x:c r="C3" s="41"/>
      <x:c r="D3" s="41"/>
      <x:c r="E3" s="41"/>
      <x:c r="F3" s="41"/>
      <x:c r="G3" s="41"/>
    </x:row>
    <x:row r="4" ht="31" customHeight="1">
      <x:c r="A4" s="49" t="str">
        <x:v>Use Review status and Team feedback to capture discussion. Open items make uncertainty visible; they are not claims that the product has failed a control.</x:v>
      </x:c>
      <x:c r="B4" s="49"/>
      <x:c r="C4" s="49"/>
      <x:c r="D4" s="49"/>
      <x:c r="E4" s="49"/>
      <x:c r="F4" s="49"/>
      <x:c r="G4" s="49"/>
    </x:row>
    <x:row r="5" ht="10" customHeight="1">
      <x:c r="A5" s="19"/>
      <x:c r="B5" s="19"/>
      <x:c r="C5" s="19"/>
      <x:c r="D5" s="19"/>
      <x:c r="E5" s="19"/>
      <x:c r="F5" s="19"/>
      <x:c r="G5" s="19"/>
    </x:row>
    <x:row r="6" ht="20" customHeight="1">
      <x:c r="A6" s="94" t="str">
        <x:v>REVIEW ITEMS</x:v>
      </x:c>
      <x:c r="B6" s="94"/>
      <x:c r="C6" s="94" t="str">
        <x:v>STILL OPEN</x:v>
      </x:c>
      <x:c r="D6" s="94"/>
      <x:c r="E6" s="94" t="str">
        <x:v>AGREED</x:v>
      </x:c>
      <x:c r="F6" s="94"/>
      <x:c r="G6" s="94"/>
    </x:row>
    <x:row r="7" ht="23" customHeight="1">
      <x:c r="A7" s="100" t="n">
        <x:f>COUNTA(A13:A26)</x:f>
        <x:v>14</x:v>
      </x:c>
      <x:c r="B7" s="100"/>
      <x:c r="C7" s="106" t="n">
        <x:f>COUNTIF(E13:E26,"Open")</x:f>
        <x:v>14</x:v>
      </x:c>
      <x:c r="D7" s="106"/>
      <x:c r="E7" s="100" t="n">
        <x:f>COUNTIF(E13:E26,"Agreed")</x:f>
        <x:v>0</x:v>
      </x:c>
      <x:c r="F7" s="100"/>
      <x:c r="G7" s="100"/>
    </x:row>
    <x:row r="8" ht="23" customHeight="1">
      <x:c r="A8" s="100"/>
      <x:c r="B8" s="100"/>
      <x:c r="C8" s="106"/>
      <x:c r="D8" s="106"/>
      <x:c r="E8" s="100"/>
      <x:c r="F8" s="100"/>
      <x:c r="G8" s="100"/>
    </x:row>
    <x:row r="9" ht="20" customHeight="1">
      <x:c r="A9" s="19"/>
      <x:c r="B9" s="19"/>
      <x:c r="C9" s="19"/>
      <x:c r="D9" s="19"/>
      <x:c r="E9" s="19"/>
      <x:c r="F9" s="19"/>
      <x:c r="G9" s="19"/>
    </x:row>
    <x:row r="10" ht="12" customHeight="1">
      <x:c r="A10" s="19"/>
      <x:c r="B10" s="19"/>
      <x:c r="C10" s="19"/>
      <x:c r="D10" s="19"/>
      <x:c r="E10" s="19"/>
      <x:c r="F10" s="19"/>
      <x:c r="G10" s="19"/>
    </x:row>
    <x:row r="11" ht="12" customHeight="1">
      <x:c r="A11" s="19"/>
      <x:c r="B11" s="19"/>
      <x:c r="C11" s="19"/>
      <x:c r="D11" s="19"/>
      <x:c r="E11" s="19"/>
      <x:c r="F11" s="19"/>
      <x:c r="G11" s="19"/>
    </x:row>
    <x:row r="12" ht="32" customHeight="1">
      <x:c r="A12" s="194" t="str">
        <x:v>ID</x:v>
      </x:c>
      <x:c r="B12" s="194" t="str">
        <x:v>Topic</x:v>
      </x:c>
      <x:c r="C12" s="194" t="str">
        <x:v>Current understanding</x:v>
      </x:c>
      <x:c r="D12" s="194" t="str">
        <x:v>Confirmation needed</x:v>
      </x:c>
      <x:c r="E12" s="194" t="str">
        <x:v>Review status</x:v>
      </x:c>
      <x:c r="F12" s="194" t="str">
        <x:v>Team feedback</x:v>
      </x:c>
      <x:c r="G12" s="194" t="str">
        <x:v>Sources</x:v>
      </x:c>
    </x:row>
    <x:row r="13" ht="80" customHeight="1">
      <x:c r="A13" s="195" t="str">
        <x:v>Q01</x:v>
      </x:c>
      <x:c r="B13" s="196" t="str">
        <x:v>First-release scope</x:v>
      </x:c>
      <x:c r="C13" s="195" t="str">
        <x:v>WS4 target understanding includes evidence discovery, capability review and assessment support.</x:v>
      </x:c>
      <x:c r="D13" s="195" t="str">
        <x:v>Which capabilities are committed to Chapter 1 / the first release?</x:v>
      </x:c>
      <x:c r="E13" s="195" t="str">
        <x:v>Open</x:v>
      </x:c>
      <x:c r="F13" s="208"/>
      <x:c r="G13" s="197" t="str">
        <x:v>M14; M16; M23</x:v>
      </x:c>
    </x:row>
    <x:row r="14" ht="80" customHeight="1">
      <x:c r="A14" s="198" t="str">
        <x:v>Q02</x:v>
      </x:c>
      <x:c r="B14" s="199" t="str">
        <x:v>Formal record vocabulary</x:v>
      </x:c>
      <x:c r="C14" s="198" t="str">
        <x:v>Outage, Incident, Problem, Issue and Action are working definitions here.</x:v>
      </x:c>
      <x:c r="D14" s="198" t="str">
        <x:v>What are the approved definitions and relationships in each source system?</x:v>
      </x:c>
      <x:c r="E14" s="198" t="str">
        <x:v>Open</x:v>
      </x:c>
      <x:c r="F14" s="208"/>
      <x:c r="G14" s="200" t="str">
        <x:v>U01; M12</x:v>
      </x:c>
    </x:row>
    <x:row r="15" ht="80" customHeight="1">
      <x:c r="A15" s="195" t="str">
        <x:v>Q03</x:v>
      </x:c>
      <x:c r="B15" s="196" t="str">
        <x:v>Supplier population</x:v>
      </x:c>
      <x:c r="C15" s="195" t="str">
        <x:v>Visuals show 13,000 or 13,000+; the meeting discusses ~1,000 material and ~200 priority suppliers.</x:v>
      </x:c>
      <x:c r="D15" s="195" t="str">
        <x:v>What are the approved counts, as-of date and source of the in-scope inventory?</x:v>
      </x:c>
      <x:c r="E15" s="195" t="str">
        <x:v>Open</x:v>
      </x:c>
      <x:c r="F15" s="208"/>
      <x:c r="G15" s="197" t="str">
        <x:v>IMG01; IMG02; M02</x:v>
      </x:c>
    </x:row>
    <x:row r="16" ht="80" customHeight="1">
      <x:c r="A16" s="198" t="str">
        <x:v>Q04</x:v>
      </x:c>
      <x:c r="B16" s="199" t="str">
        <x:v>IBS / materiality</x:v>
      </x:c>
      <x:c r="C16" s="198" t="str">
        <x:v>The concepts are related but not interchangeable.</x:v>
      </x:c>
      <x:c r="D16" s="198" t="str">
        <x:v>Which definitions, criteria and service/supplier lists should be used operationally?</x:v>
      </x:c>
      <x:c r="E16" s="198" t="str">
        <x:v>Open</x:v>
      </x:c>
      <x:c r="F16" s="208"/>
      <x:c r="G16" s="200" t="str">
        <x:v>M02; M12</x:v>
      </x:c>
    </x:row>
    <x:row r="17" ht="80" customHeight="1">
      <x:c r="A17" s="195" t="str">
        <x:v>Q05</x:v>
      </x:c>
      <x:c r="B17" s="196" t="str">
        <x:v>Questionnaire name and version</x:v>
      </x:c>
      <x:c r="C17" s="195" t="str">
        <x:v>The material uses TRF / TPR; current tech question sets vary by service.</x:v>
      </x:c>
      <x:c r="D17" s="195" t="str">
        <x:v>What is the official framework name, acronym, version and questionnaire catalogue?</x:v>
      </x:c>
      <x:c r="E17" s="195" t="str">
        <x:v>Open</x:v>
      </x:c>
      <x:c r="F17" s="208"/>
      <x:c r="G17" s="197" t="str">
        <x:v>U01; M03; M07</x:v>
      </x:c>
    </x:row>
    <x:row r="18" ht="80" customHeight="1">
      <x:c r="A18" s="198" t="str">
        <x:v>Q06</x:v>
      </x:c>
      <x:c r="B18" s="199" t="str">
        <x:v>Theme / capability catalogue</x:v>
      </x:c>
      <x:c r="C18" s="198" t="str">
        <x:v>Technology has 10 themes and ~100 capabilities; business taxonomy is still developing.</x:v>
      </x:c>
      <x:c r="D18" s="198" t="str">
        <x:v>Which approved IDs, definitions and versions should evidence be mapped against?</x:v>
      </x:c>
      <x:c r="E18" s="198" t="str">
        <x:v>Open</x:v>
      </x:c>
      <x:c r="F18" s="208"/>
      <x:c r="G18" s="200" t="str">
        <x:v>M21; M22</x:v>
      </x:c>
    </x:row>
    <x:row r="19" ht="80" customHeight="1">
      <x:c r="A19" s="195" t="str">
        <x:v>Q07</x:v>
      </x:c>
      <x:c r="B19" s="196" t="str">
        <x:v>Causality and attribution</x:v>
      </x:c>
      <x:c r="C19" s="195" t="str">
        <x:v>Supplier identity, involvement and cause are separate.</x:v>
      </x:c>
      <x:c r="D19" s="195" t="str">
        <x:v>What labels, evidence requirements and review rules govern cause attribution?</x:v>
      </x:c>
      <x:c r="E19" s="195" t="str">
        <x:v>Open</x:v>
      </x:c>
      <x:c r="F19" s="208"/>
      <x:c r="G19" s="197" t="str">
        <x:v>M05; M18</x:v>
      </x:c>
    </x:row>
    <x:row r="20" ht="80" customHeight="1">
      <x:c r="A20" s="198" t="str">
        <x:v>Q08</x:v>
      </x:c>
      <x:c r="B20" s="199" t="str">
        <x:v>Service / engagement linkage</x:v>
      </x:c>
      <x:c r="C20" s="198" t="str">
        <x:v>Linkage is incomplete; current review level is engagement.</x:v>
      </x:c>
      <x:c r="D20" s="198" t="str">
        <x:v>What identifiers, relationship cardinalities and authoritative mappings are available?</x:v>
      </x:c>
      <x:c r="E20" s="198" t="str">
        <x:v>Open</x:v>
      </x:c>
      <x:c r="F20" s="208"/>
      <x:c r="G20" s="200" t="str">
        <x:v>M13; M15; M24</x:v>
      </x:c>
    </x:row>
    <x:row r="21" ht="80" customHeight="1">
      <x:c r="A21" s="195" t="str">
        <x:v>Q09</x:v>
      </x:c>
      <x:c r="B21" s="196" t="str">
        <x:v>Parent hierarchy / CDMS</x:v>
      </x:c>
      <x:c r="C21" s="195" t="str">
        <x:v>The precise hierarchy source and identifier are unresolved.</x:v>
      </x:c>
      <x:c r="D21" s="195" t="str">
        <x:v>What is the agreed party identifier and who owns the parent mapping?</x:v>
      </x:c>
      <x:c r="E21" s="195" t="str">
        <x:v>Open</x:v>
      </x:c>
      <x:c r="F21" s="208"/>
      <x:c r="G21" s="197" t="str">
        <x:v>M24</x:v>
      </x:c>
    </x:row>
    <x:row r="22" ht="80" customHeight="1">
      <x:c r="A22" s="198" t="str">
        <x:v>Q10</x:v>
      </x:c>
      <x:c r="B22" s="199" t="str">
        <x:v>Four-feed pipeline contract</x:v>
      </x:c>
      <x:c r="C22" s="198" t="str">
        <x:v>The user describes SN main, SN extra fields, Helios Issue and Helios Action via CxO.</x:v>
      </x:c>
      <x:c r="D22" s="198" t="str">
        <x:v>Confirm exact feed names, join key, version rules and the SN field-mapping contract.</x:v>
      </x:c>
      <x:c r="E22" s="198" t="str">
        <x:v>Open</x:v>
      </x:c>
      <x:c r="F22" s="208"/>
      <x:c r="G22" s="200" t="str">
        <x:v>U03</x:v>
      </x:c>
    </x:row>
    <x:row r="23" ht="80" customHeight="1">
      <x:c r="A23" s="195" t="str">
        <x:v>Q11</x:v>
      </x:c>
      <x:c r="B23" s="196" t="str">
        <x:v>History, refresh and metric</x:v>
      </x:c>
      <x:c r="C23" s="195" t="str">
        <x:v>Three years is an example; refresh options are discussed; disruptive minutes lack a formula.</x:v>
      </x:c>
      <x:c r="D23" s="195" t="str">
        <x:v>Confirm history range, refresh cadence and the calculation/population for disruptive minutes.</x:v>
      </x:c>
      <x:c r="E23" s="195" t="str">
        <x:v>Open</x:v>
      </x:c>
      <x:c r="F23" s="208"/>
      <x:c r="G23" s="197" t="str">
        <x:v>M03; M19; M20</x:v>
      </x:c>
    </x:row>
    <x:row r="24" ht="80" customHeight="1">
      <x:c r="A24" s="198" t="str">
        <x:v>Q12</x:v>
      </x:c>
      <x:c r="B24" s="199" t="str">
        <x:v>Sources outside current scope</x:v>
      </x:c>
      <x:c r="C24" s="198" t="str">
        <x:v>ARIS, OneTPM, contracts and continuity evidence support the broader vision.</x:v>
      </x:c>
      <x:c r="D24" s="198" t="str">
        <x:v>Which are required reference data now, later sources, or explicitly out of scope?</x:v>
      </x:c>
      <x:c r="E24" s="198" t="str">
        <x:v>Open</x:v>
      </x:c>
      <x:c r="F24" s="208"/>
      <x:c r="G24" s="200" t="str">
        <x:v>M15; M23; U03</x:v>
      </x:c>
    </x:row>
    <x:row r="25" ht="80" customHeight="1">
      <x:c r="A25" s="195" t="str">
        <x:v>Q13</x:v>
      </x:c>
      <x:c r="B25" s="196" t="str">
        <x:v>Contract-system naming</x:v>
      </x:c>
      <x:c r="C25" s="195" t="str">
        <x:v>The screenshots say Coupa; the transcript says Cooper.</x:v>
      </x:c>
      <x:c r="D25" s="195" t="str">
        <x:v>Confirm the actual repository name and the service-description fields to use.</x:v>
      </x:c>
      <x:c r="E25" s="195" t="str">
        <x:v>Open</x:v>
      </x:c>
      <x:c r="F25" s="208"/>
      <x:c r="G25" s="197" t="str">
        <x:v>IMG04; M15</x:v>
      </x:c>
    </x:row>
    <x:row r="26" ht="80" customHeight="1">
      <x:c r="A26" s="198" t="str">
        <x:v>Q14</x:v>
      </x:c>
      <x:c r="B26" s="199" t="str">
        <x:v>WS4–WS5 and human review</x:v>
      </x:c>
      <x:c r="C26" s="198" t="str">
        <x:v>The end-state should connect incident/capability insights to continuity and exit decisions.</x:v>
      </x:c>
      <x:c r="D26" s="198" t="str">
        <x:v>Confirm hand-offs, user approvals and the division of responsibility between the workstreams.</x:v>
      </x:c>
      <x:c r="E26" s="198" t="str">
        <x:v>Open</x:v>
      </x:c>
      <x:c r="F26" s="208"/>
      <x:c r="G26" s="200" t="str">
        <x:v>M11; M14; M16</x:v>
      </x:c>
    </x:row>
    <x:row r="27" ht="20" customHeight="1">
      <x:c r="A27" s="19"/>
      <x:c r="B27" s="19"/>
      <x:c r="C27" s="19"/>
      <x:c r="D27" s="19"/>
      <x:c r="E27" s="19"/>
      <x:c r="F27" s="19"/>
      <x:c r="G27" s="19"/>
    </x:row>
    <x:row r="28" ht="20" customHeight="1">
      <x:c r="A28" s="19"/>
      <x:c r="B28" s="19"/>
      <x:c r="C28" s="19"/>
      <x:c r="D28" s="19"/>
      <x:c r="E28" s="19"/>
      <x:c r="F28" s="19"/>
      <x:c r="G28" s="19"/>
    </x:row>
    <x:row r="29" ht="20" customHeight="1">
      <x:c r="A29" s="116" t="str">
        <x:v>Use “Agreed” only when the team has agreed the point. Source-based meeting statements, user working definitions and proposed implementation details have deliberately not been treated as the same level of evidence.</x:v>
      </x:c>
      <x:c r="B29" s="116"/>
      <x:c r="C29" s="116"/>
      <x:c r="D29" s="116"/>
      <x:c r="E29" s="116"/>
      <x:c r="F29" s="116"/>
      <x:c r="G29" s="116"/>
    </x:row>
    <x:row r="30" ht="20" customHeight="1">
      <x:c r="A30" s="116"/>
      <x:c r="B30" s="116"/>
      <x:c r="C30" s="116"/>
      <x:c r="D30" s="116"/>
      <x:c r="E30" s="116"/>
      <x:c r="F30" s="116"/>
      <x:c r="G30" s="116"/>
    </x:row>
    <x:row r="31" ht="20" customHeight="1">
      <x:c r="A31" s="116"/>
      <x:c r="B31" s="116"/>
      <x:c r="C31" s="116"/>
      <x:c r="D31" s="116"/>
      <x:c r="E31" s="116"/>
      <x:c r="F31" s="116"/>
      <x:c r="G31" s="116"/>
    </x:row>
    <x:row r="32" ht="20" customHeight="1">
      <x:c r="A32" s="19"/>
      <x:c r="B32" s="19"/>
      <x:c r="C32" s="19"/>
      <x:c r="D32" s="19"/>
      <x:c r="E32" s="19"/>
      <x:c r="F32" s="19"/>
      <x:c r="G32" s="19"/>
    </x:row>
    <x:row r="33" ht="20" customHeight="1">
      <x:c r="A33" s="19"/>
      <x:c r="B33" s="19"/>
      <x:c r="C33" s="19"/>
      <x:c r="D33" s="19"/>
      <x:c r="E33" s="19"/>
      <x:c r="F33" s="19"/>
      <x:c r="G33" s="19"/>
    </x:row>
    <x:row r="34" ht="20" customHeight="1">
      <x:c r="A34" s="19"/>
      <x:c r="B34" s="19"/>
      <x:c r="C34" s="19"/>
      <x:c r="D34" s="19"/>
      <x:c r="E34" s="19"/>
      <x:c r="F34" s="19"/>
      <x:c r="G34" s="19"/>
    </x:row>
    <x:row r="35" ht="20" customHeight="1">
      <x:c r="A35" s="19"/>
      <x:c r="B35" s="19"/>
      <x:c r="C35" s="19"/>
      <x:c r="D35" s="19"/>
      <x:c r="E35" s="19"/>
      <x:c r="F35" s="19"/>
      <x:c r="G35" s="19"/>
    </x:row>
  </x:sheetData>
  <x:mergeCells>
    <x:mergeCell ref="A1:G2"/>
    <x:mergeCell ref="A3:G3"/>
    <x:mergeCell ref="A4:G4"/>
    <x:mergeCell ref="A6:B6"/>
    <x:mergeCell ref="C6:D6"/>
    <x:mergeCell ref="E6:G6"/>
    <x:mergeCell ref="A7:B8"/>
    <x:mergeCell ref="C7:D8"/>
    <x:mergeCell ref="E7:G8"/>
    <x:mergeCell ref="A29:G31"/>
  </x:mergeCells>
  <x:conditionalFormatting sqref="E13:E26">
    <x:cfRule type="expression" dxfId="0" priority="1">
      <x:formula>E13="Open"</x:formula>
    </x:cfRule>
    <x:cfRule type="expression" dxfId="1" priority="2">
      <x:formula>E13="Agreed"</x:formula>
    </x:cfRule>
    <x:cfRule type="expression" dxfId="2" priority="3">
      <x:formula>E13="Clarified"</x:formula>
    </x:cfRule>
    <x:cfRule type="expression" dxfId="3" priority="4">
      <x:formula>E13="Deferred"</x:formula>
    </x:cfRule>
  </x:conditionalFormatting>
  <x:dataValidations count="1">
    <x:dataValidation type="list" sqref="E13:E26">
      <x:formula1>"Open,Clarified,Agreed,Deferred"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b0ae1ca95c4082"/>
  </x:tableParts>
</x:worksheet>
</file>

<file path=xl/worksheets/sheet8.xml><?xml version="1.0" encoding="utf-8"?>
<x:worksheet xmlns:x="http://schemas.openxmlformats.org/spreadsheetml/2006/main">
  <x:sheetPr>
    <x:tabColor rgb="FF24242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.5" hidden="0" customWidth="1"/>
    <x:col min="2" max="2" width="41.25" hidden="0" customWidth="1"/>
    <x:col min="3" max="3" width="51.25" hidden="0" customWidth="1"/>
    <x:col min="4" max="4" width="60" hidden="0" customWidth="1"/>
  </x:cols>
  <x:sheetData>
    <x:row r="1" ht="25" customHeight="1">
      <x:c r="A1" s="32" t="str">
        <x:v>Sources | Evidence and provenance</x:v>
      </x:c>
      <x:c r="B1" s="32"/>
      <x:c r="C1" s="32"/>
      <x:c r="D1" s="32"/>
    </x:row>
    <x:row r="2" ht="25" customHeight="1">
      <x:c r="A2" s="32"/>
      <x:c r="B2" s="32"/>
      <x:c r="C2" s="32"/>
      <x:c r="D2" s="32"/>
    </x:row>
    <x:row r="3" ht="25" customHeight="1">
      <x:c r="A3" s="41" t="str">
        <x:v>SUPPLIED MATERIAL ONLY  •  NO EXTERNAL VERIFICATION</x:v>
      </x:c>
      <x:c r="B3" s="41"/>
      <x:c r="C3" s="41"/>
      <x:c r="D3" s="41"/>
    </x:row>
    <x:row r="4" ht="31" customHeight="1">
      <x:c r="A4" s="49" t="str">
        <x:v>Meeting timestamps are elapsed audio times. Parsed line numbers refer to the transcript supplied in this conversation; the workbook date is not asserted to be the meeting date.</x:v>
      </x:c>
      <x:c r="B4" s="49"/>
      <x:c r="C4" s="49"/>
      <x:c r="D4" s="49"/>
    </x:row>
    <x:row r="5" ht="10" customHeight="1">
      <x:c r="A5" s="19"/>
      <x:c r="B5" s="19"/>
      <x:c r="C5" s="19"/>
      <x:c r="D5" s="19"/>
    </x:row>
    <x:row r="6" ht="32" customHeight="1">
      <x:c r="A6" s="194" t="str">
        <x:v>Source ID</x:v>
      </x:c>
      <x:c r="B6" s="194" t="str">
        <x:v>Source type</x:v>
      </x:c>
      <x:c r="C6" s="194" t="str">
        <x:v>Location / material</x:v>
      </x:c>
      <x:c r="D6" s="194" t="str">
        <x:v>How it is used</x:v>
      </x:c>
    </x:row>
    <x:row r="7" ht="68" customHeight="1">
      <x:c r="A7" s="196" t="str">
        <x:v>MTG</x:v>
      </x:c>
      <x:c r="B7" s="195" t="str">
        <x:v>Meeting transcript</x:v>
      </x:c>
      <x:c r="C7" s="195" t="str">
        <x:v>Pasted text(20261007-162734).txt; 00:00–57:58</x:v>
      </x:c>
      <x:c r="D7" s="197" t="str">
        <x:v>Primary source for the meeting-described process. AI-generated transcription contains unclear names and numbers. Line references follow the supplied parsed transcript.</x:v>
      </x:c>
    </x:row>
    <x:row r="8" ht="68" customHeight="1">
      <x:c r="A8" s="199" t="str">
        <x:v>U01</x:v>
      </x:c>
      <x:c r="B8" s="198" t="str">
        <x:v>User-supplied concept notes</x:v>
      </x:c>
      <x:c r="C8" s="198" t="str">
        <x:v>Current message: definitions, product purpose, assessment concepts and WS4 summary</x:v>
      </x:c>
      <x:c r="D8" s="200" t="str">
        <x:v>Working terminology and the user's interpretation. Not an approved HSBC glossary or delivery specification.</x:v>
      </x:c>
    </x:row>
    <x:row r="9" ht="68" customHeight="1">
      <x:c r="A9" s="196" t="str">
        <x:v>U02</x:v>
      </x:c>
      <x:c r="B9" s="195" t="str">
        <x:v>User-supplied worked example</x:v>
      </x:c>
      <x:c r="C9" s="195" t="str">
        <x:v>Current message: scanning and letter-distribution service</x:v>
      </x:c>
      <x:c r="D9" s="197" t="str">
        <x:v>Explicitly hypothetical. Used to explain the product, not to describe a real supplier case.</x:v>
      </x:c>
    </x:row>
    <x:row r="10" ht="68" customHeight="1">
      <x:c r="A10" s="199" t="str">
        <x:v>U03</x:v>
      </x:c>
      <x:c r="B10" s="198" t="str">
        <x:v>User-described pipeline scope</x:v>
      </x:c>
      <x:c r="C10" s="198" t="str">
        <x:v>Earlier messages: four CxO inputs; Azure SQL; three core tables</x:v>
      </x:c>
      <x:c r="D10" s="200" t="str">
        <x:v>Current understanding: SN main + SN additional fields + Helios Issue + Helios Action; attachments excluded; summarisation optional.</x:v>
      </x:c>
    </x:row>
    <x:row r="11" ht="68" customHeight="1">
      <x:c r="A11" s="196" t="str">
        <x:v>IMG01</x:v>
      </x:c>
      <x:c r="B11" s="195" t="str">
        <x:v>Supplier-risk infographic</x:v>
      </x:c>
      <x:c r="C11" s="195" t="str">
        <x:v>9539.jpg — Managing Third-Party Supplier Risk</x:v>
      </x:c>
      <x:c r="D11" s="197" t="str">
        <x:v>Secondary, AI-generated visual summary. Shows 13,000+ suppliers, ~1,000 material and ~200 prioritised. Treat as indicative, not verified counts.</x:v>
      </x:c>
    </x:row>
    <x:row r="12" ht="68" customHeight="1">
      <x:c r="A12" s="199" t="str">
        <x:v>IMG02</x:v>
      </x:c>
      <x:c r="B12" s="198" t="str">
        <x:v>Scope and materiality mind map</x:v>
      </x:c>
      <x:c r="C12" s="198" t="str">
        <x:v>9537.jpg — Supplier Resilience Mind Map</x:v>
      </x:c>
      <x:c r="D12" s="200" t="str">
        <x:v>Secondary visual summary. Shows 13,000 suppliers; service examples are meeting-specific, not a formal enterprise classification.</x:v>
      </x:c>
    </x:row>
    <x:row r="13" ht="68" customHeight="1">
      <x:c r="A13" s="196" t="str">
        <x:v>IMG03</x:v>
      </x:c>
      <x:c r="B13" s="195" t="str">
        <x:v>Supplier-category mind map</x:v>
      </x:c>
      <x:c r="C13" s="195" t="str">
        <x:v>9536.jpg — Supplier Categories</x:v>
      </x:c>
      <x:c r="D13" s="197" t="str">
        <x:v>Secondary visual summary: technology suppliers versus business suppliers; scanning-service example.</x:v>
      </x:c>
    </x:row>
    <x:row r="14" ht="68" customHeight="1">
      <x:c r="A14" s="199" t="str">
        <x:v>IMG04</x:v>
      </x:c>
      <x:c r="B14" s="198" t="str">
        <x:v>Systems and repositories mind map</x:v>
      </x:c>
      <x:c r="C14" s="198" t="str">
        <x:v>9532.jpg and 9530.jpg — two views of the same concepts</x:v>
      </x:c>
      <x:c r="D14" s="200" t="str">
        <x:v>Lists ServiceNow, Helios, ARIS, 1TPM and Coupa. Avoid double-counting the two screenshots as independent evidence. Coupa naming requires confirmation.</x:v>
      </x:c>
    </x:row>
    <x:row r="15" ht="20" customHeight="1">
      <x:c r="A15" s="19"/>
      <x:c r="B15" s="19"/>
      <x:c r="C15" s="19"/>
      <x:c r="D15" s="19"/>
    </x:row>
    <x:row r="16" ht="20" customHeight="1">
      <x:c r="A16" s="19"/>
      <x:c r="B16" s="19"/>
      <x:c r="C16" s="19"/>
      <x:c r="D16" s="19"/>
    </x:row>
    <x:row r="17" ht="25" customHeight="1">
      <x:c r="A17" s="41" t="str">
        <x:v>MEETING EVIDENCE INDEX | Resolve M01–M24 references here</x:v>
      </x:c>
      <x:c r="B17" s="41"/>
      <x:c r="C17" s="41"/>
      <x:c r="D17" s="41"/>
    </x:row>
    <x:row r="18" ht="32" customHeight="1">
      <x:c r="A18" s="194" t="str">
        <x:v>Reference</x:v>
      </x:c>
      <x:c r="B18" s="194" t="str">
        <x:v>Timestamp / parsed lines</x:v>
      </x:c>
      <x:c r="C18" s="194" t="str">
        <x:v>Topic</x:v>
      </x:c>
      <x:c r="D18" s="194" t="str">
        <x:v>What the transcript supports</x:v>
      </x:c>
    </x:row>
    <x:row r="19" ht="65" customHeight="1">
      <x:c r="A19" s="196" t="str">
        <x:v>M01</x:v>
      </x:c>
      <x:c r="B19" s="195" t="str">
        <x:v>00:00–00:18 | lines 5–9</x:v>
      </x:c>
      <x:c r="C19" s="195" t="str">
        <x:v>Customer outcome</x:v>
      </x:c>
      <x:c r="D19" s="197" t="str">
        <x:v>Maintain access to services, including mortgage completion and cash access, when a service fails.</x:v>
      </x:c>
    </x:row>
    <x:row r="20" ht="65" customHeight="1">
      <x:c r="A20" s="199" t="str">
        <x:v>M02</x:v>
      </x:c>
      <x:c r="B20" s="198" t="str">
        <x:v>00:57–02:53 | lines 14–48</x:v>
      </x:c>
      <x:c r="C20" s="198" t="str">
        <x:v>Supplier scope</x:v>
      </x:c>
      <x:c r="D20" s="200" t="str">
        <x:v>Approximately 1,000 material suppliers and around 200 important-to-IBS suppliers are discussed. Total supplier count is unclear in the transcript.</x:v>
      </x:c>
    </x:row>
    <x:row r="21" ht="65" customHeight="1">
      <x:c r="A21" s="196" t="str">
        <x:v>M03</x:v>
      </x:c>
      <x:c r="B21" s="195" t="str">
        <x:v>03:14–05:19 | lines 50–63</x:v>
      </x:c>
      <x:c r="C21" s="195" t="str">
        <x:v>Programme purpose and outcomes</x:v>
      </x:c>
      <x:c r="D21" s="197" t="str">
        <x:v>Questionnaires, controls, governance and contractual changes support resilience improvement; reductions in disruptive minutes are reported for the existing programme.</x:v>
      </x:c>
    </x:row>
    <x:row r="22" ht="65" customHeight="1">
      <x:c r="A22" s="199" t="str">
        <x:v>M04</x:v>
      </x:c>
      <x:c r="B22" s="198" t="str">
        <x:v>05:32–06:35 | lines 65–72</x:v>
      </x:c>
      <x:c r="C22" s="198" t="str">
        <x:v>Supplier categories</x:v>
      </x:c>
      <x:c r="D22" s="200" t="str">
        <x:v>Programme scope includes technology and business suppliers, such as software, telecoms, cash movements and building services.</x:v>
      </x:c>
    </x:row>
    <x:row r="23" ht="65" customHeight="1">
      <x:c r="A23" s="196" t="str">
        <x:v>M05</x:v>
      </x:c>
      <x:c r="B23" s="195" t="str">
        <x:v>07:07–07:52 | lines 74–81</x:v>
      </x:c>
      <x:c r="C23" s="195" t="str">
        <x:v>Attribution distinction</x:v>
      </x:c>
      <x:c r="D23" s="197" t="str">
        <x:v>An IBM mainframe may fail because of an internal HSBC change. Supplier/product association alone does not establish fault.</x:v>
      </x:c>
    </x:row>
    <x:row r="24" ht="65" customHeight="1">
      <x:c r="A24" s="199" t="str">
        <x:v>M06</x:v>
      </x:c>
      <x:c r="B24" s="198" t="str">
        <x:v>08:19–08:47 | lines 83–87</x:v>
      </x:c>
      <x:c r="C24" s="198" t="str">
        <x:v>Themes and questionnaires</x:v>
      </x:c>
      <x:c r="D24" s="200" t="str">
        <x:v>Technology outage themes informed capability questions. The discussion refers to a reduction from roughly 170 questions to around 100.</x:v>
      </x:c>
    </x:row>
    <x:row r="25" ht="65" customHeight="1">
      <x:c r="A25" s="196" t="str">
        <x:v>M07</x:v>
      </x:c>
      <x:c r="B25" s="195" t="str">
        <x:v>09:52–11:21 | lines 98–126</x:v>
      </x:c>
      <x:c r="C25" s="195" t="str">
        <x:v>Current questionnaire practice</x:v>
      </x:c>
      <x:c r="D25" s="197" t="str">
        <x:v>Existing suppliers are reviewed through a backlog, not simply after each outage. Full question sets vary by the service provided.</x:v>
      </x:c>
    </x:row>
    <x:row r="26" ht="65" customHeight="1">
      <x:c r="A26" s="199" t="str">
        <x:v>M08</x:v>
      </x:c>
      <x:c r="B26" s="198" t="str">
        <x:v>11:27–12:57 | lines 128–147</x:v>
      </x:c>
      <x:c r="C26" s="198" t="str">
        <x:v>WS3 relationship</x:v>
      </x:c>
      <x:c r="D26" s="200" t="str">
        <x:v>The process is described as currently independent; possible integration is discussed without a confirmed plan.</x:v>
      </x:c>
    </x:row>
    <x:row r="27" ht="65" customHeight="1">
      <x:c r="A27" s="196" t="str">
        <x:v>M09</x:v>
      </x:c>
      <x:c r="B27" s="195" t="str">
        <x:v>13:13–13:44 | lines 155–159</x:v>
      </x:c>
      <x:c r="C27" s="195" t="str">
        <x:v>Data coverage limitation</x:v>
      </x:c>
      <x:c r="D27" s="197" t="str">
        <x:v>Business supplier data is less rich; some incidents do not reach ServiceNow or meet the reporting threshold described for Helios.</x:v>
      </x:c>
    </x:row>
    <x:row r="28" ht="65" customHeight="1">
      <x:c r="A28" s="199" t="str">
        <x:v>M10</x:v>
      </x:c>
      <x:c r="B28" s="198" t="str">
        <x:v>14:30–15:50 | lines 167–180</x:v>
      </x:c>
      <x:c r="C28" s="198" t="str">
        <x:v>Scanning-service example</x:v>
      </x:c>
      <x:c r="D28" s="200" t="str">
        <x:v>A technology-enabled scanning service is still a business service; backup equipment and alternative locations are relevant resilience questions.</x:v>
      </x:c>
    </x:row>
    <x:row r="29" ht="65" customHeight="1">
      <x:c r="A29" s="196" t="str">
        <x:v>M11</x:v>
      </x:c>
      <x:c r="B29" s="195" t="str">
        <x:v>18:09–22:27 | lines 209–234</x:v>
      </x:c>
      <x:c r="C29" s="195" t="str">
        <x:v>Business assessment workflow</x:v>
      </x:c>
      <x:c r="D29" s="197" t="str">
        <x:v>Map service touchpoints, mine incident/issue and continuity evidence, develop capability questions, review responses and pursue improvements.</x:v>
      </x:c>
    </x:row>
    <x:row r="30" ht="65" customHeight="1">
      <x:c r="A30" s="199" t="str">
        <x:v>M12</x:v>
      </x:c>
      <x:c r="B30" s="198" t="str">
        <x:v>23:24–25:21 | lines 242–270</x:v>
      </x:c>
      <x:c r="C30" s="198" t="str">
        <x:v>IBS and repositories</x:v>
      </x:c>
      <x:c r="D30" s="200" t="str">
        <x:v>IBS is a subset of bank services. Customer-harm examples are discussed. Helios is described as the business counterpart to ServiceNow.</x:v>
      </x:c>
    </x:row>
    <x:row r="31" ht="65" customHeight="1">
      <x:c r="A31" s="196" t="str">
        <x:v>M13</x:v>
      </x:c>
      <x:c r="B31" s="195" t="str">
        <x:v>26:32–28:25 | lines 296–318</x:v>
      </x:c>
      <x:c r="C31" s="195" t="str">
        <x:v>Linkage challenge</x:v>
      </x:c>
      <x:c r="D31" s="197" t="str">
        <x:v>Engagement IDs are not consistently linked. Analysts search using supplier names, aliases, system names and other identifiers.</x:v>
      </x:c>
    </x:row>
    <x:row r="32" ht="65" customHeight="1">
      <x:c r="A32" s="199" t="str">
        <x:v>M14</x:v>
      </x:c>
      <x:c r="B32" s="198" t="str">
        <x:v>30:21–32:53 | lines 344–372</x:v>
      </x:c>
      <x:c r="C32" s="198" t="str">
        <x:v>User and end-state view</x:v>
      </x:c>
      <x:c r="D32" s="200" t="str">
        <x:v>Start with a supplier and its services. A TPM should see relevant incidents and recommendations for questions and remediation.</x:v>
      </x:c>
    </x:row>
    <x:row r="33" ht="65" customHeight="1">
      <x:c r="A33" s="196" t="str">
        <x:v>M15</x:v>
      </x:c>
      <x:c r="B33" s="195" t="str">
        <x:v>33:14–35:00 | lines 383–414</x:v>
      </x:c>
      <x:c r="C33" s="195" t="str">
        <x:v>Service information and aliases</x:v>
      </x:c>
      <x:c r="D33" s="197" t="str">
        <x:v>Contracts, OneTPM, ARIS and ODS inform service understanding. Alias matching and subject-matter-expert refinement are discussed.</x:v>
      </x:c>
    </x:row>
    <x:row r="34" ht="65" customHeight="1">
      <x:c r="A34" s="199" t="str">
        <x:v>M16</x:v>
      </x:c>
      <x:c r="B34" s="198" t="str">
        <x:v>35:15–36:58 | lines 419–438</x:v>
      </x:c>
      <x:c r="C34" s="198" t="str">
        <x:v>WS4 and WS5</x:v>
      </x:c>
      <x:c r="D34" s="200" t="str">
        <x:v>WS4 covers incidents and resilience capabilities; WS5 brings continuity and exit perspectives. The end-state connection still needs clearer definition.</x:v>
      </x:c>
    </x:row>
    <x:row r="35" ht="65" customHeight="1">
      <x:c r="A35" s="196" t="str">
        <x:v>M17</x:v>
      </x:c>
      <x:c r="B35" s="195" t="str">
        <x:v>37:29–37:55 | lines 443–450</x:v>
      </x:c>
      <x:c r="C35" s="195" t="str">
        <x:v>Actual versus potential scenarios</x:v>
      </x:c>
      <x:c r="D35" s="197" t="str">
        <x:v>Actual incidents are distinguished from possible-failure scenarios derived from continuity plans; synthetic does not mean an observed outage.</x:v>
      </x:c>
    </x:row>
    <x:row r="36" ht="65" customHeight="1">
      <x:c r="A36" s="199" t="str">
        <x:v>M18</x:v>
      </x:c>
      <x:c r="B36" s="198" t="str">
        <x:v>38:08–41:42 | lines 452–489</x:v>
      </x:c>
      <x:c r="C36" s="198" t="str">
        <x:v>AI linkage and reuse</x:v>
      </x:c>
      <x:c r="D36" s="200" t="str">
        <x:v>AI is discussed for linking free text to suppliers; reusing analysis beyond the priority subset is supported as a direction, not a final delivery commitment.</x:v>
      </x:c>
    </x:row>
    <x:row r="37" ht="65" customHeight="1">
      <x:c r="A37" s="196" t="str">
        <x:v>M19</x:v>
      </x:c>
      <x:c r="B37" s="195" t="str">
        <x:v>41:48–43:43 | lines 494–525</x:v>
      </x:c>
      <x:c r="C37" s="195" t="str">
        <x:v>History and questionnaire timing</x:v>
      </x:c>
      <x:c r="D37" s="197" t="str">
        <x:v>Three years of history is an example. Preparing historical mappings and generating a questionnaire on request are treated separately.</x:v>
      </x:c>
    </x:row>
    <x:row r="38" ht="65" customHeight="1">
      <x:c r="A38" s="199" t="str">
        <x:v>M20</x:v>
      </x:c>
      <x:c r="B38" s="198" t="str">
        <x:v>43:46–45:23 | lines 527–558</x:v>
      </x:c>
      <x:c r="C38" s="198" t="str">
        <x:v>Refresh and recurrence</x:v>
      </x:c>
      <x:c r="D38" s="200" t="str">
        <x:v>Daily, weekly and monthly options are discussed. Current IT snapshots are monthly; recurrence after claimed remediation is particularly important.</x:v>
      </x:c>
    </x:row>
    <x:row r="39" ht="65" customHeight="1">
      <x:c r="A39" s="196" t="str">
        <x:v>M21</x:v>
      </x:c>
      <x:c r="B39" s="195" t="str">
        <x:v>46:01–48:23 | lines 572–603</x:v>
      </x:c>
      <x:c r="C39" s="195" t="str">
        <x:v>Technology taxonomy</x:v>
      </x:c>
      <x:c r="D39" s="197" t="str">
        <x:v>Themes should be bounded; technology has 10 themes and approximately 100 capabilities. Patterns can be discovered from data.</x:v>
      </x:c>
    </x:row>
    <x:row r="40" ht="65" customHeight="1">
      <x:c r="A40" s="199" t="str">
        <x:v>M22</x:v>
      </x:c>
      <x:c r="B40" s="198" t="str">
        <x:v>48:26–49:57 | lines 605–633</x:v>
      </x:c>
      <x:c r="C40" s="198" t="str">
        <x:v>Business taxonomy and capability examples</x:v>
      </x:c>
      <x:c r="D40" s="200" t="str">
        <x:v>Business themes are still developing. Change governance, communication, testing and recovery arrangements are capability examples.</x:v>
      </x:c>
    </x:row>
    <x:row r="41" ht="65" customHeight="1">
      <x:c r="A41" s="196" t="str">
        <x:v>M23</x:v>
      </x:c>
      <x:c r="B41" s="195" t="str">
        <x:v>50:09–55:06 | lines 635–714</x:v>
      </x:c>
      <x:c r="C41" s="195" t="str">
        <x:v>Delivery and source scope</x:v>
      </x:c>
      <x:c r="D41" s="197" t="str">
        <x:v>Existing outputs include spreadsheets. Not all potential sources are in the initial chapter; further sources require a value and feasibility assessment.</x:v>
      </x:c>
    </x:row>
    <x:row r="42" ht="65" customHeight="1">
      <x:c r="A42" s="199" t="str">
        <x:v>M24</x:v>
      </x:c>
      <x:c r="B42" s="198" t="str">
        <x:v>55:39–57:35 | lines 719–747</x:v>
      </x:c>
      <x:c r="C42" s="198" t="str">
        <x:v>Engagement and parent hierarchy</x:v>
      </x:c>
      <x:c r="D42" s="200" t="str">
        <x:v>Current assessment is at engagement level. Parent hierarchy availability and the precise CDMS identifier are not conclusively established.</x:v>
      </x:c>
    </x:row>
    <x:row r="43" ht="20" customHeight="1">
      <x:c r="A43" s="19"/>
      <x:c r="B43" s="19"/>
      <x:c r="C43" s="19"/>
      <x:c r="D43" s="19"/>
    </x:row>
    <x:row r="44" ht="20" customHeight="1">
      <x:c r="A44" s="19"/>
      <x:c r="B44" s="19"/>
      <x:c r="C44" s="19"/>
      <x:c r="D44" s="19"/>
    </x:row>
    <x:row r="45" ht="20" customHeight="1">
      <x:c r="A45" s="122" t="str">
        <x:v>Source hierarchy: meeting transcript for meeting-described practice; user notes for working interpretations and current pipeline scope; screenshots for secondary visual summaries. Unclear names, counts and formal definitions remain visible in Team Review rather than being silently resolved.</x:v>
      </x:c>
      <x:c r="B45" s="122"/>
      <x:c r="C45" s="122"/>
      <x:c r="D45" s="122"/>
    </x:row>
    <x:row r="46" ht="20" customHeight="1">
      <x:c r="A46" s="122"/>
      <x:c r="B46" s="122"/>
      <x:c r="C46" s="122"/>
      <x:c r="D46" s="122"/>
    </x:row>
    <x:row r="47" ht="20" customHeight="1">
      <x:c r="A47" s="122"/>
      <x:c r="B47" s="122"/>
      <x:c r="C47" s="122"/>
      <x:c r="D47" s="122"/>
    </x:row>
    <x:row r="48" ht="20" customHeight="1">
      <x:c r="A48" s="19"/>
      <x:c r="B48" s="19"/>
      <x:c r="C48" s="19"/>
      <x:c r="D48" s="19"/>
    </x:row>
    <x:row r="49" ht="20" customHeight="1">
      <x:c r="A49" s="19"/>
      <x:c r="B49" s="19"/>
      <x:c r="C49" s="19"/>
      <x:c r="D49" s="19"/>
    </x:row>
    <x:row r="50" ht="20" customHeight="1">
      <x:c r="A50" s="19"/>
      <x:c r="B50" s="19"/>
      <x:c r="C50" s="19"/>
      <x:c r="D50" s="19"/>
    </x:row>
  </x:sheetData>
  <x:mergeCells>
    <x:mergeCell ref="A1:D2"/>
    <x:mergeCell ref="A3:D3"/>
    <x:mergeCell ref="A4:D4"/>
    <x:mergeCell ref="A17:D17"/>
    <x:mergeCell ref="A45:D47"/>
  </x:mergeCells>
  <x:pageMargins left="0.7" right="0.7" top="0.75" bottom="0.75" header="0.3" footer="0.3"/>
  <x:tableParts count="2">
    <x:tablePart xmlns:r="http://schemas.openxmlformats.org/officeDocument/2006/relationships" r:id="Rb5186be19f2d4f97"/>
    <x:tablePart xmlns:r="http://schemas.openxmlformats.org/officeDocument/2006/relationships" r:id="R3ec7304531c54374"/>
  </x:tableParts>
</x:worksheet>
</file>